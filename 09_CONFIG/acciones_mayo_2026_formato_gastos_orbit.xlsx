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8ab25d14f049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REGLAS_ACCIONES" sheetId="1" r:id="R3026e08205da45d3"/>
    <x:sheet xmlns:r="http://schemas.openxmlformats.org/officeDocument/2006/relationships" name="02_PLANTILLA_GASTOS" sheetId="2" r:id="R0c1a8a1b9c654d54"/>
    <x:sheet xmlns:r="http://schemas.openxmlformats.org/officeDocument/2006/relationships" name="03_DICCIONARIO" sheetId="3" r:id="R510eecc2d98e45dd"/>
    <x:sheet xmlns:r="http://schemas.openxmlformats.org/officeDocument/2006/relationships" name="04_NOTAS_VALIDACION" sheetId="4" r:id="Ra88aa75b60f64f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%"/>
    <x:numFmt numFmtId="202" formatCode="#,##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ill>
        <x:patternFill patternType="solid">
          <x:bgColor rgb="FDE68A"/>
        </x:patternFill>
      </x:fill>
    </x:dxf>
    <x:dxf>
      <x:fill>
        <x:patternFill patternType="solid">
          <x:bgColor rgb="FECACA"/>
        </x:patternFill>
      </x:fill>
    </x:dxf>
    <x:dxf>
      <x:fill>
        <x:patternFill patternType="solid">
          <x:bgColor rgb="DCFCE7"/>
        </x:patternFill>
      </x:fill>
    </x:dxf>
    <x:dxf>
      <x:fill>
        <x:patternFill patternType="solid">
          <x:bgColor rgb="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f21af40ef94321" /><Relationship Type="http://schemas.openxmlformats.org/officeDocument/2006/relationships/theme" Target="/xl/theme/theme1.xml" Id="R6f30016a00154bb0" /><Relationship Type="http://schemas.openxmlformats.org/officeDocument/2006/relationships/sharedStrings" Target="/xl/sharedStrings.xml" Id="R63c6f1c62e0f4b49" /><Relationship Type="http://schemas.openxmlformats.org/officeDocument/2006/relationships/worksheet" Target="/xl/worksheets/sheet1.xml" Id="R3026e08205da45d3" /><Relationship Type="http://schemas.openxmlformats.org/officeDocument/2006/relationships/worksheet" Target="/xl/worksheets/sheet2.xml" Id="R0c1a8a1b9c654d54" /><Relationship Type="http://schemas.openxmlformats.org/officeDocument/2006/relationships/worksheet" Target="/xl/worksheets/sheet3.xml" Id="R510eecc2d98e45dd" /><Relationship Type="http://schemas.openxmlformats.org/officeDocument/2006/relationships/worksheet" Target="/xl/worksheets/sheet4.xml" Id="Ra88aa75b60f64f72" /></Relationships>
</file>

<file path=xl/tables/table1.xml><?xml version="1.0" encoding="utf-8"?>
<x:table xmlns:x="http://schemas.openxmlformats.org/spreadsheetml/2006/main" id="1" name="ReglasAcciones" displayName="ReglasAcciones" ref="A1:AA32" headerRowCount="1">
  <x:tableColumns count="27">
    <x:tableColumn id="1" name="accion_id"/>
    <x:tableColumn id="2" name="mes"/>
    <x:tableColumn id="3" name="vigencia_desde"/>
    <x:tableColumn id="4" name="vigencia_hasta"/>
    <x:tableColumn id="5" name="tipo_accion"/>
    <x:tableColumn id="6" name="canal"/>
    <x:tableColumn id="7" name="segmento_cliente"/>
    <x:tableColumn id="8" name="categoria"/>
    <x:tableColumn id="9" name="lineas_segmentos"/>
    <x:tableColumn id="10" name="productos_incluidos"/>
    <x:tableColumn id="11" name="productos_excluidos"/>
    <x:tableColumn id="12" name="condicion_original"/>
    <x:tableColumn id="13" name="unidad_condicion"/>
    <x:tableColumn id="14" name="cantidad_min"/>
    <x:tableColumn id="15" name="cantidad_max"/>
    <x:tableColumn id="16" name="beneficio_tipo"/>
    <x:tableColumn id="17" name="descuento_pct"/>
    <x:tableColumn id="18" name="bonif_compra_cajas"/>
    <x:tableColumn id="19" name="bonif_entrega_cajas"/>
    <x:tableColumn id="20" name="tope_cajas"/>
    <x:tableColumn id="21" name="retiro_deposito"/>
    <x:tableColumn id="22" name="descuento_retiro_deposito_pct"/>
    <x:tableColumn id="23" name="acumulable"/>
    <x:tableColumn id="24" name="prioridad_regla"/>
    <x:tableColumn id="25" name="requiere_validacion"/>
    <x:tableColumn id="26" name="observaciones"/>
    <x:tableColumn id="27" name="fuente"/>
  </x:tableColumns>
  <x:tableStyleInfo name="TableStyleMedium2" showRowStripes="1"/>
</x:table>
</file>

<file path=xl/tables/table2.xml><?xml version="1.0" encoding="utf-8"?>
<x:table xmlns:x="http://schemas.openxmlformats.org/spreadsheetml/2006/main" id="2" name="PlantillaGastos" displayName="PlantillaGastos" ref="A1:U201" headerRowCount="1">
  <x:tableColumns count="21">
    <x:tableColumn id="1" name="fecha"/>
    <x:tableColumn id="2" name="cliente_id"/>
    <x:tableColumn id="3" name="cliente_nombre"/>
    <x:tableColumn id="4" name="vendedor_codigo"/>
    <x:tableColumn id="5" name="canal"/>
    <x:tableColumn id="6" name="segmento_cliente"/>
    <x:tableColumn id="7" name="categoria"/>
    <x:tableColumn id="8" name="producto_codigo"/>
    <x:tableColumn id="9" name="producto_nombre"/>
    <x:tableColumn id="10" name="cantidad"/>
    <x:tableColumn id="11" name="unidad"/>
    <x:tableColumn id="12" name="importe_base_sin_descuento"/>
    <x:tableColumn id="13" name="accion_id"/>
    <x:tableColumn id="14" name="descuento_teorico_pct"/>
    <x:tableColumn id="15" name="beneficio_tipo"/>
    <x:tableColumn id="16" name="gasto_teorico"/>
    <x:tableColumn id="17" name="descuento_aplicado_pct"/>
    <x:tableColumn id="18" name="gasto_real"/>
    <x:tableColumn id="19" name="diferencia_gasto"/>
    <x:tableColumn id="20" name="estado_control"/>
    <x:tableColumn id="21" name="observacion"/>
  </x:tableColumns>
  <x:tableStyleInfo name="TableStyleMedium2" showRowStripes="1"/>
</x:table>
</file>

<file path=xl/tables/table3.xml><?xml version="1.0" encoding="utf-8"?>
<x:table xmlns:x="http://schemas.openxmlformats.org/spreadsheetml/2006/main" id="3" name="DiccionarioAcciones" displayName="DiccionarioAcciones" ref="A1:B17" headerRowCount="1">
  <x:tableColumns count="2">
    <x:tableColumn id="1" name="Campo"/>
    <x:tableColumn id="2" name="Uso recomendad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4654c8adfbb415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921687dc968493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bec16b6cf8743a0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" hidden="0" customWidth="1"/>
    <x:col min="3" max="3" width="12" hidden="0" customWidth="1"/>
    <x:col min="4" max="4" width="12" hidden="0" customWidth="1"/>
    <x:col min="5" max="5" width="14" hidden="0" customWidth="1"/>
    <x:col min="6" max="6" width="22" hidden="0" customWidth="1"/>
    <x:col min="7" max="7" width="22" hidden="0" customWidth="1"/>
    <x:col min="8" max="8" width="20" hidden="0" customWidth="1"/>
    <x:col min="9" max="9" width="28" hidden="0" customWidth="1"/>
    <x:col min="10" max="10" width="34" hidden="0" customWidth="1"/>
    <x:col min="11" max="11" width="34" hidden="0" customWidth="1"/>
    <x:col min="12" max="12" width="30" hidden="0" customWidth="1"/>
    <x:col min="13" max="13" width="14" hidden="0" customWidth="1"/>
    <x:col min="14" max="14" width="12" hidden="0" customWidth="1"/>
    <x:col min="15" max="15" width="12" hidden="0" customWidth="1"/>
    <x:col min="16" max="16" width="15" hidden="0" customWidth="1"/>
    <x:col min="17" max="17" width="12" hidden="0" customWidth="1"/>
    <x:col min="18" max="18" width="14" hidden="0" customWidth="1"/>
    <x:col min="19" max="19" width="14" hidden="0" customWidth="1"/>
    <x:col min="20" max="20" width="20" hidden="0" customWidth="1"/>
    <x:col min="21" max="21" width="13" hidden="0" customWidth="1"/>
    <x:col min="22" max="22" width="14" hidden="0" customWidth="1"/>
    <x:col min="23" max="23" width="12" hidden="0" customWidth="1"/>
    <x:col min="24" max="24" width="12" hidden="0" customWidth="1"/>
    <x:col min="25" max="25" width="16" hidden="0" customWidth="1"/>
    <x:col min="26" max="26" width="40" hidden="0" customWidth="1"/>
  </x:cols>
  <x:sheetData>
    <x:row r="1" ht="15" hidden="0" customHeight="1">
      <x:c r="A1" s="6" t="str">
        <x:v>accion_id</x:v>
      </x:c>
      <x:c r="B1" s="6" t="str">
        <x:v>mes</x:v>
      </x:c>
      <x:c r="C1" s="6" t="str">
        <x:v>vigencia_desde</x:v>
      </x:c>
      <x:c r="D1" s="6" t="str">
        <x:v>vigencia_hasta</x:v>
      </x:c>
      <x:c r="E1" s="6" t="str">
        <x:v>tipo_accion</x:v>
      </x:c>
      <x:c r="F1" s="6" t="str">
        <x:v>canal</x:v>
      </x:c>
      <x:c r="G1" s="6" t="str">
        <x:v>segmento_cliente</x:v>
      </x:c>
      <x:c r="H1" s="6" t="str">
        <x:v>categoria</x:v>
      </x:c>
      <x:c r="I1" s="6" t="str">
        <x:v>lineas_segmentos</x:v>
      </x:c>
      <x:c r="J1" s="6" t="str">
        <x:v>productos_incluidos</x:v>
      </x:c>
      <x:c r="K1" s="6" t="str">
        <x:v>productos_excluidos</x:v>
      </x:c>
      <x:c r="L1" s="6" t="str">
        <x:v>condicion_original</x:v>
      </x:c>
      <x:c r="M1" s="6" t="str">
        <x:v>unidad_condicion</x:v>
      </x:c>
      <x:c r="N1" s="6" t="str">
        <x:v>cantidad_min</x:v>
      </x:c>
      <x:c r="O1" s="6" t="str">
        <x:v>cantidad_max</x:v>
      </x:c>
      <x:c r="P1" s="6" t="str">
        <x:v>beneficio_tipo</x:v>
      </x:c>
      <x:c r="Q1" s="6" t="str">
        <x:v>descuento_pct</x:v>
      </x:c>
      <x:c r="R1" s="6" t="str">
        <x:v>bonif_compra_cajas</x:v>
      </x:c>
      <x:c r="S1" s="6" t="str">
        <x:v>bonif_entrega_cajas</x:v>
      </x:c>
      <x:c r="T1" s="6" t="str">
        <x:v>tope_cajas</x:v>
      </x:c>
      <x:c r="U1" s="6" t="str">
        <x:v>retiro_deposito</x:v>
      </x:c>
      <x:c r="V1" s="6" t="str">
        <x:v>descuento_retiro_deposito_pct</x:v>
      </x:c>
      <x:c r="W1" s="6" t="str">
        <x:v>acumulable</x:v>
      </x:c>
      <x:c r="X1" s="6" t="str">
        <x:v>prioridad_regla</x:v>
      </x:c>
      <x:c r="Y1" s="6" t="str">
        <x:v>requiere_validacion</x:v>
      </x:c>
      <x:c r="Z1" s="6" t="str">
        <x:v>observaciones</x:v>
      </x:c>
      <x:c r="AA1" s="6" t="str">
        <x:v>fuente</x:v>
      </x:c>
    </x:row>
    <x:row r="2" ht="15" hidden="0" customHeight="1">
      <x:c r="A2" t="str">
        <x:v>MAY26-GRAL-AS-VIN-001</x:v>
      </x:c>
      <x:c r="B2" t="str">
        <x:v>2026-05</x:v>
      </x:c>
      <x:c r="C2" s="12" t="n">
        <x:v>46143</x:v>
      </x:c>
      <x:c r="D2" s="12" t="n">
        <x:v>46173</x:v>
      </x:c>
      <x:c r="E2" t="str">
        <x:v>DROP</x:v>
      </x:c>
      <x:c r="F2" t="str">
        <x:v>AUTOSERVICIOS</x:v>
      </x:c>
      <x:c r="G2" t="str">
        <x:v>Todos</x:v>
      </x:c>
      <x:c r="H2" t="str">
        <x:v>VDA/VDG/ESPUMANTES/SIDRA</x:v>
      </x:c>
      <x:c r="I2" s="18" t="str">
        <x:v>Medio; Medio Alto; Alto; Superior</x:v>
      </x:c>
      <x:c r="J2" s="18" t="str"/>
      <x:c r="K2" s="18" t="str"/>
      <x:c r="L2" s="18" t="str">
        <x:v>1 a 9 cajas -&gt; 6% Dto</x:v>
      </x:c>
      <x:c r="M2" s="18" t="str">
        <x:v>CAJA</x:v>
      </x:c>
      <x:c r="N2" s="18" t="n">
        <x:v>1</x:v>
      </x:c>
      <x:c r="O2" s="18" t="n">
        <x:v>9</x:v>
      </x:c>
      <x:c r="P2" s="18" t="str">
        <x:v>DESCUENTO</x:v>
      </x:c>
      <x:c r="Q2" s="19" t="n">
        <x:v>0.06</x:v>
      </x:c>
      <x:c r="R2" s="18"/>
      <x:c r="S2" s="18"/>
      <x:c r="T2" s="18"/>
      <x:c r="U2" s="18" t="str">
        <x:v>NO</x:v>
      </x:c>
      <x:c r="V2" s="19"/>
      <x:c r="W2" s="18" t="str">
        <x:v>NO_DEFINIDO</x:v>
      </x:c>
      <x:c r="X2" s="18" t="n">
        <x:v>30</x:v>
      </x:c>
      <x:c r="Y2" s="18" t="str">
        <x:v>NO</x:v>
      </x:c>
      <x:c r="Z2" s="18" t="str"/>
      <x:c r="AA2" t="str">
        <x:v>ACCIONES MAYO 2026 (3).pptx | Slide 1</x:v>
      </x:c>
    </x:row>
    <x:row r="3" ht="15" hidden="0" customHeight="1">
      <x:c r="A3" t="str">
        <x:v>MAY26-GRAL-AS-VIN-002</x:v>
      </x:c>
      <x:c r="B3" t="str">
        <x:v>2026-05</x:v>
      </x:c>
      <x:c r="C3" s="12" t="n">
        <x:v>46143</x:v>
      </x:c>
      <x:c r="D3" s="12" t="n">
        <x:v>46173</x:v>
      </x:c>
      <x:c r="E3" t="str">
        <x:v>DROP</x:v>
      </x:c>
      <x:c r="F3" t="str">
        <x:v>AUTOSERVICIOS</x:v>
      </x:c>
      <x:c r="G3" t="str">
        <x:v>Todos</x:v>
      </x:c>
      <x:c r="H3" t="str">
        <x:v>VDA/VDG/ESPUMANTES/SIDRA</x:v>
      </x:c>
      <x:c r="I3" s="18" t="str">
        <x:v>Medio; Medio Alto; Alto; Superior</x:v>
      </x:c>
      <x:c r="J3" s="18" t="str"/>
      <x:c r="K3" s="18" t="str"/>
      <x:c r="L3" s="18" t="str">
        <x:v>10 a 20 cajas -&gt; 8% Dto</x:v>
      </x:c>
      <x:c r="M3" s="18" t="str">
        <x:v>CAJA</x:v>
      </x:c>
      <x:c r="N3" s="18" t="n">
        <x:v>10</x:v>
      </x:c>
      <x:c r="O3" s="18" t="n">
        <x:v>20</x:v>
      </x:c>
      <x:c r="P3" s="18" t="str">
        <x:v>DESCUENTO</x:v>
      </x:c>
      <x:c r="Q3" s="19" t="n">
        <x:v>0.08</x:v>
      </x:c>
      <x:c r="R3" s="18"/>
      <x:c r="S3" s="18"/>
      <x:c r="T3" s="18"/>
      <x:c r="U3" s="18" t="str">
        <x:v>NO</x:v>
      </x:c>
      <x:c r="V3" s="19"/>
      <x:c r="W3" s="18" t="str">
        <x:v>NO_DEFINIDO</x:v>
      </x:c>
      <x:c r="X3" s="18" t="n">
        <x:v>20</x:v>
      </x:c>
      <x:c r="Y3" s="18" t="str">
        <x:v>NO</x:v>
      </x:c>
      <x:c r="Z3" s="18" t="str"/>
      <x:c r="AA3" t="str">
        <x:v>ACCIONES MAYO 2026 (3).pptx | Slide 1</x:v>
      </x:c>
    </x:row>
    <x:row r="4" ht="15" hidden="0" customHeight="1">
      <x:c r="A4" t="str">
        <x:v>MAY26-GRAL-AS-VIN-003</x:v>
      </x:c>
      <x:c r="B4" t="str">
        <x:v>2026-05</x:v>
      </x:c>
      <x:c r="C4" s="12" t="n">
        <x:v>46143</x:v>
      </x:c>
      <x:c r="D4" s="12" t="n">
        <x:v>46173</x:v>
      </x:c>
      <x:c r="E4" t="str">
        <x:v>DROP</x:v>
      </x:c>
      <x:c r="F4" t="str">
        <x:v>AUTOSERVICIOS</x:v>
      </x:c>
      <x:c r="G4" t="str">
        <x:v>Todos</x:v>
      </x:c>
      <x:c r="H4" t="str">
        <x:v>VDA/VDG/ESPUMANTES/SIDRA</x:v>
      </x:c>
      <x:c r="I4" s="18" t="str">
        <x:v>Medio; Medio Alto; Alto; Superior</x:v>
      </x:c>
      <x:c r="J4" s="18" t="str"/>
      <x:c r="K4" s="18" t="str"/>
      <x:c r="L4" s="18" t="str">
        <x:v>20 cajas o más -&gt; 10% Dto</x:v>
      </x:c>
      <x:c r="M4" s="18" t="str">
        <x:v>CAJA</x:v>
      </x:c>
      <x:c r="N4" s="18" t="n">
        <x:v>20</x:v>
      </x:c>
      <x:c r="O4" s="18"/>
      <x:c r="P4" s="18" t="str">
        <x:v>DESCUENTO</x:v>
      </x:c>
      <x:c r="Q4" s="19" t="n">
        <x:v>0.1</x:v>
      </x:c>
      <x:c r="R4" s="18"/>
      <x:c r="S4" s="18"/>
      <x:c r="T4" s="18"/>
      <x:c r="U4" s="18" t="str">
        <x:v>NO</x:v>
      </x:c>
      <x:c r="V4" s="19"/>
      <x:c r="W4" s="18" t="str">
        <x:v>NO_DEFINIDO</x:v>
      </x:c>
      <x:c r="X4" s="18" t="n">
        <x:v>10</x:v>
      </x:c>
      <x:c r="Y4" s="18" t="str">
        <x:v>SI</x:v>
      </x:c>
      <x:c r="Z4" s="18" t="str">
        <x:v>Existe solapamiento textual en 20 cajas con la regla anterior; usar prioridad más alta/mayor descuento.</x:v>
      </x:c>
      <x:c r="AA4" t="str">
        <x:v>ACCIONES MAYO 2026 (3).pptx | Slide 1</x:v>
      </x:c>
    </x:row>
    <x:row r="5" ht="15" hidden="0" customHeight="1">
      <x:c r="A5" t="str">
        <x:v>MAY26-GRAL-TRAD-VIN-001</x:v>
      </x:c>
      <x:c r="B5" t="str">
        <x:v>2026-05</x:v>
      </x:c>
      <x:c r="C5" s="12" t="n">
        <x:v>46143</x:v>
      </x:c>
      <x:c r="D5" s="12" t="n">
        <x:v>46173</x:v>
      </x:c>
      <x:c r="E5" t="str">
        <x:v>DROP</x:v>
      </x:c>
      <x:c r="F5" t="str">
        <x:v>TRAD+KIOSCO+ON PREMISE</x:v>
      </x:c>
      <x:c r="G5" t="str">
        <x:v>Todos</x:v>
      </x:c>
      <x:c r="H5" t="str">
        <x:v>VDA/VDG/ESPUMANTES/SIDRA</x:v>
      </x:c>
      <x:c r="I5" s="18" t="str">
        <x:v>Medio; Medio Alto; Alto; Superior</x:v>
      </x:c>
      <x:c r="J5" s="18" t="str"/>
      <x:c r="K5" s="18" t="str"/>
      <x:c r="L5" s="18" t="str">
        <x:v>0 a 3 cajas -&gt; 6% Dto</x:v>
      </x:c>
      <x:c r="M5" s="18" t="str">
        <x:v>CAJA</x:v>
      </x:c>
      <x:c r="N5" s="18" t="n">
        <x:v>1</x:v>
      </x:c>
      <x:c r="O5" s="18" t="n">
        <x:v>3</x:v>
      </x:c>
      <x:c r="P5" s="18" t="str">
        <x:v>DESCUENTO</x:v>
      </x:c>
      <x:c r="Q5" s="19" t="n">
        <x:v>0.06</x:v>
      </x:c>
      <x:c r="R5" s="18"/>
      <x:c r="S5" s="18"/>
      <x:c r="T5" s="18"/>
      <x:c r="U5" s="18" t="str">
        <x:v>NO</x:v>
      </x:c>
      <x:c r="V5" s="19"/>
      <x:c r="W5" s="18" t="str">
        <x:v>NO_DEFINIDO</x:v>
      </x:c>
      <x:c r="X5" s="18" t="n">
        <x:v>30</x:v>
      </x:c>
      <x:c r="Y5" s="18" t="str">
        <x:v>SI</x:v>
      </x:c>
      <x:c r="Z5" s="18" t="str">
        <x:v>Texto original dice 0 a 3; para análisis de ventas reales se normaliza mínimo 1.</x:v>
      </x:c>
      <x:c r="AA5" t="str">
        <x:v>ACCIONES MAYO 2026 (3).pptx | Slide 1</x:v>
      </x:c>
    </x:row>
    <x:row r="6" ht="15" hidden="0" customHeight="1">
      <x:c r="A6" t="str">
        <x:v>MAY26-GRAL-TRAD-VIN-002</x:v>
      </x:c>
      <x:c r="B6" t="str">
        <x:v>2026-05</x:v>
      </x:c>
      <x:c r="C6" s="12" t="n">
        <x:v>46143</x:v>
      </x:c>
      <x:c r="D6" s="12" t="n">
        <x:v>46173</x:v>
      </x:c>
      <x:c r="E6" t="str">
        <x:v>DROP</x:v>
      </x:c>
      <x:c r="F6" t="str">
        <x:v>TRAD+KIOSCO+ON PREMISE</x:v>
      </x:c>
      <x:c r="G6" t="str">
        <x:v>Todos</x:v>
      </x:c>
      <x:c r="H6" t="str">
        <x:v>VDA/VDG/ESPUMANTES/SIDRA</x:v>
      </x:c>
      <x:c r="I6" s="18" t="str">
        <x:v>Medio; Medio Alto; Alto; Superior</x:v>
      </x:c>
      <x:c r="J6" s="18" t="str"/>
      <x:c r="K6" s="18" t="str"/>
      <x:c r="L6" s="18" t="str">
        <x:v>4 cajas o más -&gt; 10% Dto</x:v>
      </x:c>
      <x:c r="M6" s="18" t="str">
        <x:v>CAJA</x:v>
      </x:c>
      <x:c r="N6" s="18" t="n">
        <x:v>4</x:v>
      </x:c>
      <x:c r="O6" s="18"/>
      <x:c r="P6" s="18" t="str">
        <x:v>DESCUENTO</x:v>
      </x:c>
      <x:c r="Q6" s="19" t="n">
        <x:v>0.1</x:v>
      </x:c>
      <x:c r="R6" s="18"/>
      <x:c r="S6" s="18"/>
      <x:c r="T6" s="18"/>
      <x:c r="U6" s="18" t="str">
        <x:v>NO</x:v>
      </x:c>
      <x:c r="V6" s="19"/>
      <x:c r="W6" s="18" t="str">
        <x:v>NO_DEFINIDO</x:v>
      </x:c>
      <x:c r="X6" s="18" t="n">
        <x:v>10</x:v>
      </x:c>
      <x:c r="Y6" s="18" t="str">
        <x:v>NO</x:v>
      </x:c>
      <x:c r="Z6" s="18" t="str"/>
      <x:c r="AA6" t="str">
        <x:v>ACCIONES MAYO 2026 (3).pptx | Slide 1</x:v>
      </x:c>
    </x:row>
    <x:row r="7" ht="15" hidden="0" customHeight="1">
      <x:c r="A7" t="str">
        <x:v>MAY26-GRAL-AS-RTD-FRZ-001</x:v>
      </x:c>
      <x:c r="B7" t="str">
        <x:v>2026-05</x:v>
      </x:c>
      <x:c r="C7" s="12" t="n">
        <x:v>46143</x:v>
      </x:c>
      <x:c r="D7" s="12" t="n">
        <x:v>46173</x:v>
      </x:c>
      <x:c r="E7" t="str">
        <x:v>DROP</x:v>
      </x:c>
      <x:c r="F7" t="str">
        <x:v>AUTOSERVICIOS</x:v>
      </x:c>
      <x:c r="G7" t="str">
        <x:v>Todos</x:v>
      </x:c>
      <x:c r="H7" t="str">
        <x:v>RTD</x:v>
      </x:c>
      <x:c r="I7" s="18" t="str">
        <x:v>FRIZZE</x:v>
      </x:c>
      <x:c r="J7" s="18" t="str">
        <x:v>FRIZZE</x:v>
      </x:c>
      <x:c r="K7" s="18" t="str"/>
      <x:c r="L7" s="18" t="str">
        <x:v>1 pack o más -&gt; 5% Dto</x:v>
      </x:c>
      <x:c r="M7" s="18" t="str">
        <x:v>PACK</x:v>
      </x:c>
      <x:c r="N7" s="18" t="n">
        <x:v>1</x:v>
      </x:c>
      <x:c r="O7" s="18"/>
      <x:c r="P7" s="18" t="str">
        <x:v>DESCUENTO</x:v>
      </x:c>
      <x:c r="Q7" s="19" t="n">
        <x:v>0.05</x:v>
      </x:c>
      <x:c r="R7" s="18"/>
      <x:c r="S7" s="18"/>
      <x:c r="T7" s="18"/>
      <x:c r="U7" s="18" t="str">
        <x:v>NO</x:v>
      </x:c>
      <x:c r="V7" s="19"/>
      <x:c r="W7" s="18" t="str">
        <x:v>NO_DEFINIDO</x:v>
      </x:c>
      <x:c r="X7" s="18" t="n">
        <x:v>10</x:v>
      </x:c>
      <x:c r="Y7" s="18" t="str">
        <x:v>NO</x:v>
      </x:c>
      <x:c r="Z7" s="18" t="str"/>
      <x:c r="AA7" t="str">
        <x:v>ACCIONES MAYO 2026 (3).pptx | Slide 1</x:v>
      </x:c>
    </x:row>
    <x:row r="8" ht="15" hidden="0" customHeight="1">
      <x:c r="A8" t="str">
        <x:v>MAY26-GRAL-TRAD-RTD-FRZ-001</x:v>
      </x:c>
      <x:c r="B8" t="str">
        <x:v>2026-05</x:v>
      </x:c>
      <x:c r="C8" s="12" t="n">
        <x:v>46143</x:v>
      </x:c>
      <x:c r="D8" s="12" t="n">
        <x:v>46173</x:v>
      </x:c>
      <x:c r="E8" t="str">
        <x:v>DROP</x:v>
      </x:c>
      <x:c r="F8" t="str">
        <x:v>TRAD+KIOSCO+ON PREMISE</x:v>
      </x:c>
      <x:c r="G8" t="str">
        <x:v>Todos</x:v>
      </x:c>
      <x:c r="H8" t="str">
        <x:v>RTD</x:v>
      </x:c>
      <x:c r="I8" s="18" t="str">
        <x:v>FRIZZE</x:v>
      </x:c>
      <x:c r="J8" s="18" t="str">
        <x:v>FRIZZE</x:v>
      </x:c>
      <x:c r="K8" s="18" t="str"/>
      <x:c r="L8" s="18" t="str">
        <x:v>1 a 30 cajas -&gt; 5% Dto</x:v>
      </x:c>
      <x:c r="M8" s="18" t="str">
        <x:v>CAJA</x:v>
      </x:c>
      <x:c r="N8" s="18" t="n">
        <x:v>1</x:v>
      </x:c>
      <x:c r="O8" s="18" t="n">
        <x:v>30</x:v>
      </x:c>
      <x:c r="P8" s="18" t="str">
        <x:v>DESCUENTO</x:v>
      </x:c>
      <x:c r="Q8" s="19" t="n">
        <x:v>0.05</x:v>
      </x:c>
      <x:c r="R8" s="18"/>
      <x:c r="S8" s="18"/>
      <x:c r="T8" s="18"/>
      <x:c r="U8" s="18" t="str">
        <x:v>NO</x:v>
      </x:c>
      <x:c r="V8" s="19"/>
      <x:c r="W8" s="18" t="str">
        <x:v>NO_DEFINIDO</x:v>
      </x:c>
      <x:c r="X8" s="18" t="n">
        <x:v>10</x:v>
      </x:c>
      <x:c r="Y8" s="18" t="str">
        <x:v>NO</x:v>
      </x:c>
      <x:c r="Z8" s="18" t="str"/>
      <x:c r="AA8" t="str">
        <x:v>ACCIONES MAYO 2026 (3).pptx | Slide 1</x:v>
      </x:c>
    </x:row>
    <x:row r="9" ht="15" hidden="0" customHeight="1">
      <x:c r="A9" t="str">
        <x:v>MAY26-GRAL-AS-RTD-LAT-001</x:v>
      </x:c>
      <x:c r="B9" t="str">
        <x:v>2026-05</x:v>
      </x:c>
      <x:c r="C9" s="12" t="n">
        <x:v>46143</x:v>
      </x:c>
      <x:c r="D9" s="12" t="n">
        <x:v>46173</x:v>
      </x:c>
      <x:c r="E9" t="str">
        <x:v>DROP</x:v>
      </x:c>
      <x:c r="F9" t="str">
        <x:v>AUTOSERVICIOS</x:v>
      </x:c>
      <x:c r="G9" t="str">
        <x:v>Todos</x:v>
      </x:c>
      <x:c r="H9" t="str">
        <x:v>RTD LATAS</x:v>
      </x:c>
      <x:c r="I9" s="18" t="str">
        <x:v>Gordons Tonic; Smirnoff BC; Antares</x:v>
      </x:c>
      <x:c r="J9" s="18" t="str">
        <x:v>GORDONS TONIC; SMIR BC; ANTARES</x:v>
      </x:c>
      <x:c r="K9" s="18" t="str"/>
      <x:c r="L9" s="18" t="str">
        <x:v>1 pack o más -&gt; 5% Dto</x:v>
      </x:c>
      <x:c r="M9" s="18" t="str">
        <x:v>PACK</x:v>
      </x:c>
      <x:c r="N9" s="18" t="n">
        <x:v>1</x:v>
      </x:c>
      <x:c r="O9" s="18"/>
      <x:c r="P9" s="18" t="str">
        <x:v>DESCUENTO</x:v>
      </x:c>
      <x:c r="Q9" s="19" t="n">
        <x:v>0.05</x:v>
      </x:c>
      <x:c r="R9" s="18"/>
      <x:c r="S9" s="18"/>
      <x:c r="T9" s="18"/>
      <x:c r="U9" s="18" t="str">
        <x:v>NO</x:v>
      </x:c>
      <x:c r="V9" s="19"/>
      <x:c r="W9" s="18" t="str">
        <x:v>NO_DEFINIDO</x:v>
      </x:c>
      <x:c r="X9" s="18" t="n">
        <x:v>10</x:v>
      </x:c>
      <x:c r="Y9" s="18" t="str">
        <x:v>NO</x:v>
      </x:c>
      <x:c r="Z9" s="18" t="str"/>
      <x:c r="AA9" t="str">
        <x:v>ACCIONES MAYO 2026 (3).pptx | Slide 1</x:v>
      </x:c>
    </x:row>
    <x:row r="10" ht="15" hidden="0" customHeight="1">
      <x:c r="A10" t="str">
        <x:v>MAY26-GRAL-TRAD-RTD-LAT-001</x:v>
      </x:c>
      <x:c r="B10" t="str">
        <x:v>2026-05</x:v>
      </x:c>
      <x:c r="C10" s="12" t="n">
        <x:v>46143</x:v>
      </x:c>
      <x:c r="D10" s="12" t="n">
        <x:v>46173</x:v>
      </x:c>
      <x:c r="E10" t="str">
        <x:v>DROP</x:v>
      </x:c>
      <x:c r="F10" t="str">
        <x:v>TRAD+KIOSCO+ON PREMISE</x:v>
      </x:c>
      <x:c r="G10" t="str">
        <x:v>Todos</x:v>
      </x:c>
      <x:c r="H10" t="str">
        <x:v>RTD LATAS</x:v>
      </x:c>
      <x:c r="I10" s="18" t="str">
        <x:v>Gordons Tonic; Smirnoff BC; Antares</x:v>
      </x:c>
      <x:c r="J10" s="18" t="str">
        <x:v>GORDONS TONIC; SMIR BC; ANTARES</x:v>
      </x:c>
      <x:c r="K10" s="18" t="str"/>
      <x:c r="L10" s="18" t="str">
        <x:v>1 pack o más -&gt; 5% Dto</x:v>
      </x:c>
      <x:c r="M10" s="18" t="str">
        <x:v>PACK</x:v>
      </x:c>
      <x:c r="N10" s="18" t="n">
        <x:v>1</x:v>
      </x:c>
      <x:c r="O10" s="18"/>
      <x:c r="P10" s="18" t="str">
        <x:v>DESCUENTO</x:v>
      </x:c>
      <x:c r="Q10" s="19" t="n">
        <x:v>0.05</x:v>
      </x:c>
      <x:c r="R10" s="18"/>
      <x:c r="S10" s="18"/>
      <x:c r="T10" s="18"/>
      <x:c r="U10" s="18" t="str">
        <x:v>NO</x:v>
      </x:c>
      <x:c r="V10" s="19"/>
      <x:c r="W10" s="18" t="str">
        <x:v>NO_DEFINIDO</x:v>
      </x:c>
      <x:c r="X10" s="18" t="n">
        <x:v>10</x:v>
      </x:c>
      <x:c r="Y10" s="18" t="str">
        <x:v>NO</x:v>
      </x:c>
      <x:c r="Z10" s="18" t="str"/>
      <x:c r="AA10" t="str">
        <x:v>ACCIONES MAYO 2026 (3).pptx | Slide 1</x:v>
      </x:c>
    </x:row>
    <x:row r="11" ht="15" hidden="0" customHeight="1">
      <x:c r="A11" t="str">
        <x:v>MAY26-GRAL-AS-SPI-LOC-001</x:v>
      </x:c>
      <x:c r="B11" t="str">
        <x:v>2026-05</x:v>
      </x:c>
      <x:c r="C11" s="12" t="n">
        <x:v>46143</x:v>
      </x:c>
      <x:c r="D11" s="12" t="n">
        <x:v>46173</x:v>
      </x:c>
      <x:c r="E11" t="str">
        <x:v>DROP</x:v>
      </x:c>
      <x:c r="F11" t="str">
        <x:v>AUTOSERVICIOS</x:v>
      </x:c>
      <x:c r="G11" t="str">
        <x:v>Todos</x:v>
      </x:c>
      <x:c r="H11" t="str">
        <x:v>SPIRITS LOCALES</x:v>
      </x:c>
      <x:c r="I11" s="18" t="str">
        <x:v>Familia Smirnoff y Gordons; White Horse; J&amp;B</x:v>
      </x:c>
      <x:c r="J11" s="18" t="str">
        <x:v>FAMILIA SMIRNOFF Y GORDONS; WHITE HORSE; J&amp;B</x:v>
      </x:c>
      <x:c r="K11" s="18" t="str"/>
      <x:c r="L11" s="18" t="str">
        <x:v>1 caja o más -&gt; 6%</x:v>
      </x:c>
      <x:c r="M11" s="18" t="str">
        <x:v>CAJA</x:v>
      </x:c>
      <x:c r="N11" s="18" t="n">
        <x:v>1</x:v>
      </x:c>
      <x:c r="O11" s="18"/>
      <x:c r="P11" s="18" t="str">
        <x:v>DESCUENTO</x:v>
      </x:c>
      <x:c r="Q11" s="19" t="n">
        <x:v>0.06</x:v>
      </x:c>
      <x:c r="R11" s="18"/>
      <x:c r="S11" s="18"/>
      <x:c r="T11" s="18"/>
      <x:c r="U11" s="18" t="str">
        <x:v>NO</x:v>
      </x:c>
      <x:c r="V11" s="19"/>
      <x:c r="W11" s="18" t="str">
        <x:v>NO_DEFINIDO</x:v>
      </x:c>
      <x:c r="X11" s="18" t="n">
        <x:v>10</x:v>
      </x:c>
      <x:c r="Y11" s="18" t="str">
        <x:v>NO</x:v>
      </x:c>
      <x:c r="Z11" s="18" t="str"/>
      <x:c r="AA11" t="str">
        <x:v>ACCIONES MAYO 2026 (3).pptx | Slide 1</x:v>
      </x:c>
    </x:row>
    <x:row r="12" ht="15" hidden="0" customHeight="1">
      <x:c r="A12" t="str">
        <x:v>MAY26-GRAL-TRAD-SPI-LOC-001</x:v>
      </x:c>
      <x:c r="B12" t="str">
        <x:v>2026-05</x:v>
      </x:c>
      <x:c r="C12" s="12" t="n">
        <x:v>46143</x:v>
      </x:c>
      <x:c r="D12" s="12" t="n">
        <x:v>46173</x:v>
      </x:c>
      <x:c r="E12" t="str">
        <x:v>DROP</x:v>
      </x:c>
      <x:c r="F12" t="str">
        <x:v>TRAD+KIOSCO+ON PREMISE</x:v>
      </x:c>
      <x:c r="G12" t="str">
        <x:v>Todos</x:v>
      </x:c>
      <x:c r="H12" t="str">
        <x:v>SPIRITS LOCALES</x:v>
      </x:c>
      <x:c r="I12" s="18" t="str">
        <x:v>Familia Smirnoff y Gordons; White Horse; J&amp;B</x:v>
      </x:c>
      <x:c r="J12" s="18" t="str">
        <x:v>FAMILIA SMIRNOFF Y GORDONS; WHITE HORSE; J&amp;B</x:v>
      </x:c>
      <x:c r="K12" s="18" t="str"/>
      <x:c r="L12" s="18" t="str">
        <x:v>1 caja o más -&gt; 6%</x:v>
      </x:c>
      <x:c r="M12" s="18" t="str">
        <x:v>CAJA</x:v>
      </x:c>
      <x:c r="N12" s="18" t="n">
        <x:v>1</x:v>
      </x:c>
      <x:c r="O12" s="18"/>
      <x:c r="P12" s="18" t="str">
        <x:v>DESCUENTO</x:v>
      </x:c>
      <x:c r="Q12" s="19" t="n">
        <x:v>0.06</x:v>
      </x:c>
      <x:c r="R12" s="18"/>
      <x:c r="S12" s="18"/>
      <x:c r="T12" s="18"/>
      <x:c r="U12" s="18" t="str">
        <x:v>NO</x:v>
      </x:c>
      <x:c r="V12" s="19"/>
      <x:c r="W12" s="18" t="str">
        <x:v>NO_DEFINIDO</x:v>
      </x:c>
      <x:c r="X12" s="18" t="n">
        <x:v>10</x:v>
      </x:c>
      <x:c r="Y12" s="18" t="str">
        <x:v>NO</x:v>
      </x:c>
      <x:c r="Z12" s="18" t="str"/>
      <x:c r="AA12" t="str">
        <x:v>ACCIONES MAYO 2026 (3).pptx | Slide 1</x:v>
      </x:c>
    </x:row>
    <x:row r="13" ht="15" hidden="0" customHeight="1">
      <x:c r="A13" t="str">
        <x:v>MAY26-GRAL-AS-SPI-IMP-001</x:v>
      </x:c>
      <x:c r="B13" t="str">
        <x:v>2026-05</x:v>
      </x:c>
      <x:c r="C13" s="12" t="n">
        <x:v>46143</x:v>
      </x:c>
      <x:c r="D13" s="12" t="n">
        <x:v>46173</x:v>
      </x:c>
      <x:c r="E13" t="str">
        <x:v>DROP</x:v>
      </x:c>
      <x:c r="F13" t="str">
        <x:v>AUTOSERVICIOS</x:v>
      </x:c>
      <x:c r="G13" t="str">
        <x:v>Todos</x:v>
      </x:c>
      <x:c r="H13" t="str">
        <x:v>SPIRITS IMPORTADOS</x:v>
      </x:c>
      <x:c r="I13" s="18" t="str">
        <x:v>Ver imagen</x:v>
      </x:c>
      <x:c r="J13" s="18" t="str">
        <x:v>VER IMAGEN</x:v>
      </x:c>
      <x:c r="K13" s="18" t="str"/>
      <x:c r="L13" s="18" t="str">
        <x:v>1 caja o más -&gt; 3%</x:v>
      </x:c>
      <x:c r="M13" s="18" t="str">
        <x:v>CAJA</x:v>
      </x:c>
      <x:c r="N13" s="18" t="n">
        <x:v>1</x:v>
      </x:c>
      <x:c r="O13" s="18"/>
      <x:c r="P13" s="18" t="str">
        <x:v>DESCUENTO</x:v>
      </x:c>
      <x:c r="Q13" s="19" t="n">
        <x:v>0.03</x:v>
      </x:c>
      <x:c r="R13" s="18"/>
      <x:c r="S13" s="18"/>
      <x:c r="T13" s="18"/>
      <x:c r="U13" s="18" t="str">
        <x:v>NO</x:v>
      </x:c>
      <x:c r="V13" s="19"/>
      <x:c r="W13" s="18" t="str">
        <x:v>NO_DEFINIDO</x:v>
      </x:c>
      <x:c r="X13" s="18" t="n">
        <x:v>10</x:v>
      </x:c>
      <x:c r="Y13" s="18" t="str">
        <x:v>SI</x:v>
      </x:c>
      <x:c r="Z13" s="18" t="str">
        <x:v>La PPT referencia una imagen para detalle de importados; completar maestro de productos incluidos.</x:v>
      </x:c>
      <x:c r="AA13" t="str">
        <x:v>ACCIONES MAYO 2026 (3).pptx | Slide 1</x:v>
      </x:c>
    </x:row>
    <x:row r="14" ht="15" hidden="0" customHeight="1">
      <x:c r="A14" t="str">
        <x:v>MAY26-GRAL-TRAD-SPI-IMP-001</x:v>
      </x:c>
      <x:c r="B14" t="str">
        <x:v>2026-05</x:v>
      </x:c>
      <x:c r="C14" s="12" t="n">
        <x:v>46143</x:v>
      </x:c>
      <x:c r="D14" s="12" t="n">
        <x:v>46173</x:v>
      </x:c>
      <x:c r="E14" t="str">
        <x:v>DROP</x:v>
      </x:c>
      <x:c r="F14" t="str">
        <x:v>TRAD+KIOSCO+ON PREMISE</x:v>
      </x:c>
      <x:c r="G14" t="str">
        <x:v>Todos</x:v>
      </x:c>
      <x:c r="H14" t="str">
        <x:v>SPIRITS IMPORTADOS</x:v>
      </x:c>
      <x:c r="I14" s="18" t="str">
        <x:v>Ver imagen</x:v>
      </x:c>
      <x:c r="J14" s="18" t="str">
        <x:v>VER IMAGEN</x:v>
      </x:c>
      <x:c r="K14" s="18" t="str"/>
      <x:c r="L14" s="18" t="str">
        <x:v>1 caja o más -&gt; 3%</x:v>
      </x:c>
      <x:c r="M14" s="18" t="str">
        <x:v>CAJA</x:v>
      </x:c>
      <x:c r="N14" s="18" t="n">
        <x:v>1</x:v>
      </x:c>
      <x:c r="O14" s="18"/>
      <x:c r="P14" s="18" t="str">
        <x:v>DESCUENTO</x:v>
      </x:c>
      <x:c r="Q14" s="19" t="n">
        <x:v>0.03</x:v>
      </x:c>
      <x:c r="R14" s="18"/>
      <x:c r="S14" s="18"/>
      <x:c r="T14" s="18"/>
      <x:c r="U14" s="18" t="str">
        <x:v>NO</x:v>
      </x:c>
      <x:c r="V14" s="19"/>
      <x:c r="W14" s="18" t="str">
        <x:v>NO_DEFINIDO</x:v>
      </x:c>
      <x:c r="X14" s="18" t="n">
        <x:v>10</x:v>
      </x:c>
      <x:c r="Y14" s="18" t="str">
        <x:v>SI</x:v>
      </x:c>
      <x:c r="Z14" s="18" t="str">
        <x:v>La PPT referencia una imagen para detalle de importados; completar maestro de productos incluidos.</x:v>
      </x:c>
      <x:c r="AA14" t="str">
        <x:v>ACCIONES MAYO 2026 (3).pptx | Slide 1</x:v>
      </x:c>
    </x:row>
    <x:row r="15" ht="15" hidden="0" customHeight="1">
      <x:c r="A15" t="str">
        <x:v>MAY26-VTK-AS-VIN-001</x:v>
      </x:c>
      <x:c r="B15" t="str">
        <x:v>2026-05</x:v>
      </x:c>
      <x:c r="C15" s="12" t="n">
        <x:v>46143</x:v>
      </x:c>
      <x:c r="D15" s="12" t="n">
        <x:v>46173</x:v>
      </x:c>
      <x:c r="E15" t="str">
        <x:v>DROP</x:v>
      </x:c>
      <x:c r="F15" t="str">
        <x:v>VTK/TDB</x:v>
      </x:c>
      <x:c r="G15" t="str">
        <x:v>Todos</x:v>
      </x:c>
      <x:c r="H15" t="str">
        <x:v>VDA/VDG/ESPUMANTES/SIDRA</x:v>
      </x:c>
      <x:c r="I15" s="18" t="str">
        <x:v>Medio; Medio Alto; Alto; Superior</x:v>
      </x:c>
      <x:c r="J15" s="18" t="str"/>
      <x:c r="K15" s="18" t="str"/>
      <x:c r="L15" s="18" t="str">
        <x:v>1 a 5 cajas -&gt; 8% Dto</x:v>
      </x:c>
      <x:c r="M15" s="18" t="str">
        <x:v>CAJA</x:v>
      </x:c>
      <x:c r="N15" s="18" t="n">
        <x:v>1</x:v>
      </x:c>
      <x:c r="O15" s="18" t="n">
        <x:v>5</x:v>
      </x:c>
      <x:c r="P15" s="18" t="str">
        <x:v>DESCUENTO</x:v>
      </x:c>
      <x:c r="Q15" s="19" t="n">
        <x:v>0.08</x:v>
      </x:c>
      <x:c r="R15" s="18"/>
      <x:c r="S15" s="18"/>
      <x:c r="T15" s="18"/>
      <x:c r="U15" s="18" t="str">
        <x:v>NO</x:v>
      </x:c>
      <x:c r="V15" s="19"/>
      <x:c r="W15" s="18" t="str">
        <x:v>NO_DEFINIDO</x:v>
      </x:c>
      <x:c r="X15" s="18" t="n">
        <x:v>20</x:v>
      </x:c>
      <x:c r="Y15" s="18" t="str">
        <x:v>NO</x:v>
      </x:c>
      <x:c r="Z15" s="18" t="str"/>
      <x:c r="AA15" t="str">
        <x:v>ACCIONES MAYO 2026 (3).pptx | Slide 2</x:v>
      </x:c>
    </x:row>
    <x:row r="16" ht="15" hidden="0" customHeight="1">
      <x:c r="A16" t="str">
        <x:v>MAY26-VTK-AS-VIN-002</x:v>
      </x:c>
      <x:c r="B16" t="str">
        <x:v>2026-05</x:v>
      </x:c>
      <x:c r="C16" s="12" t="n">
        <x:v>46143</x:v>
      </x:c>
      <x:c r="D16" s="12" t="n">
        <x:v>46173</x:v>
      </x:c>
      <x:c r="E16" t="str">
        <x:v>DROP</x:v>
      </x:c>
      <x:c r="F16" t="str">
        <x:v>VTK/TDB</x:v>
      </x:c>
      <x:c r="G16" t="str">
        <x:v>Todos</x:v>
      </x:c>
      <x:c r="H16" t="str">
        <x:v>VDA/VDG/ESPUMANTES/SIDRA</x:v>
      </x:c>
      <x:c r="I16" s="18" t="str">
        <x:v>Medio; Medio Alto; Alto; Superior</x:v>
      </x:c>
      <x:c r="J16" s="18" t="str"/>
      <x:c r="K16" s="18" t="str"/>
      <x:c r="L16" s="18" t="str">
        <x:v>6 cajas o más -&gt; 10% Dto</x:v>
      </x:c>
      <x:c r="M16" s="18" t="str">
        <x:v>CAJA</x:v>
      </x:c>
      <x:c r="N16" s="18" t="n">
        <x:v>6</x:v>
      </x:c>
      <x:c r="O16" s="18"/>
      <x:c r="P16" s="18" t="str">
        <x:v>DESCUENTO</x:v>
      </x:c>
      <x:c r="Q16" s="19" t="n">
        <x:v>0.1</x:v>
      </x:c>
      <x:c r="R16" s="18"/>
      <x:c r="S16" s="18"/>
      <x:c r="T16" s="18"/>
      <x:c r="U16" s="18" t="str">
        <x:v>NO</x:v>
      </x:c>
      <x:c r="V16" s="19"/>
      <x:c r="W16" s="18" t="str">
        <x:v>NO_DEFINIDO</x:v>
      </x:c>
      <x:c r="X16" s="18" t="n">
        <x:v>10</x:v>
      </x:c>
      <x:c r="Y16" s="18" t="str">
        <x:v>NO</x:v>
      </x:c>
      <x:c r="Z16" s="18" t="str"/>
      <x:c r="AA16" t="str">
        <x:v>ACCIONES MAYO 2026 (3).pptx | Slide 2</x:v>
      </x:c>
    </x:row>
    <x:row r="17" ht="15" hidden="0" customHeight="1">
      <x:c r="A17" t="str">
        <x:v>MAY26-VTK-AS-RTD-FRZ-001</x:v>
      </x:c>
      <x:c r="B17" t="str">
        <x:v>2026-05</x:v>
      </x:c>
      <x:c r="C17" s="12" t="n">
        <x:v>46143</x:v>
      </x:c>
      <x:c r="D17" s="12" t="n">
        <x:v>46173</x:v>
      </x:c>
      <x:c r="E17" t="str">
        <x:v>DROP</x:v>
      </x:c>
      <x:c r="F17" t="str">
        <x:v>VTK/TDB</x:v>
      </x:c>
      <x:c r="G17" t="str">
        <x:v>Todos</x:v>
      </x:c>
      <x:c r="H17" t="str">
        <x:v>RTD</x:v>
      </x:c>
      <x:c r="I17" s="18" t="str">
        <x:v>FRIZZE</x:v>
      </x:c>
      <x:c r="J17" s="18" t="str">
        <x:v>FRIZZE</x:v>
      </x:c>
      <x:c r="K17" s="18" t="str"/>
      <x:c r="L17" s="18" t="str">
        <x:v>1 pack o más -&gt; 5% Dto</x:v>
      </x:c>
      <x:c r="M17" s="18" t="str">
        <x:v>PACK</x:v>
      </x:c>
      <x:c r="N17" s="18" t="n">
        <x:v>1</x:v>
      </x:c>
      <x:c r="O17" s="18"/>
      <x:c r="P17" s="18" t="str">
        <x:v>DESCUENTO</x:v>
      </x:c>
      <x:c r="Q17" s="19" t="n">
        <x:v>0.05</x:v>
      </x:c>
      <x:c r="R17" s="18"/>
      <x:c r="S17" s="18"/>
      <x:c r="T17" s="18"/>
      <x:c r="U17" s="18" t="str">
        <x:v>NO</x:v>
      </x:c>
      <x:c r="V17" s="19"/>
      <x:c r="W17" s="18" t="str">
        <x:v>NO_DEFINIDO</x:v>
      </x:c>
      <x:c r="X17" s="18" t="n">
        <x:v>10</x:v>
      </x:c>
      <x:c r="Y17" s="18" t="str">
        <x:v>NO</x:v>
      </x:c>
      <x:c r="Z17" s="18" t="str"/>
      <x:c r="AA17" t="str">
        <x:v>ACCIONES MAYO 2026 (3).pptx | Slide 2</x:v>
      </x:c>
    </x:row>
    <x:row r="18" ht="15" hidden="0" customHeight="1">
      <x:c r="A18" t="str">
        <x:v>MAY26-VTK-AS-RTD-LAT-001</x:v>
      </x:c>
      <x:c r="B18" t="str">
        <x:v>2026-05</x:v>
      </x:c>
      <x:c r="C18" s="12" t="n">
        <x:v>46143</x:v>
      </x:c>
      <x:c r="D18" s="12" t="n">
        <x:v>46173</x:v>
      </x:c>
      <x:c r="E18" t="str">
        <x:v>DROP</x:v>
      </x:c>
      <x:c r="F18" t="str">
        <x:v>VTK/TDB</x:v>
      </x:c>
      <x:c r="G18" t="str">
        <x:v>Todos</x:v>
      </x:c>
      <x:c r="H18" t="str">
        <x:v>RTD LATAS</x:v>
      </x:c>
      <x:c r="I18" s="18" t="str">
        <x:v>Gordons Tonic; Smirnoff BC; Antares</x:v>
      </x:c>
      <x:c r="J18" s="18" t="str">
        <x:v>GORDONS TONIC; SMIR BC; ANTARES</x:v>
      </x:c>
      <x:c r="K18" s="18" t="str"/>
      <x:c r="L18" s="18" t="str">
        <x:v>1 pack o más -&gt; 5% Dto</x:v>
      </x:c>
      <x:c r="M18" s="18" t="str">
        <x:v>PACK</x:v>
      </x:c>
      <x:c r="N18" s="18" t="n">
        <x:v>1</x:v>
      </x:c>
      <x:c r="O18" s="18"/>
      <x:c r="P18" s="18" t="str">
        <x:v>DESCUENTO</x:v>
      </x:c>
      <x:c r="Q18" s="19" t="n">
        <x:v>0.05</x:v>
      </x:c>
      <x:c r="R18" s="18"/>
      <x:c r="S18" s="18"/>
      <x:c r="T18" s="18"/>
      <x:c r="U18" s="18" t="str">
        <x:v>NO</x:v>
      </x:c>
      <x:c r="V18" s="19"/>
      <x:c r="W18" s="18" t="str">
        <x:v>NO_DEFINIDO</x:v>
      </x:c>
      <x:c r="X18" s="18" t="n">
        <x:v>10</x:v>
      </x:c>
      <x:c r="Y18" s="18" t="str">
        <x:v>NO</x:v>
      </x:c>
      <x:c r="Z18" s="18" t="str"/>
      <x:c r="AA18" t="str">
        <x:v>ACCIONES MAYO 2026 (3).pptx | Slide 2</x:v>
      </x:c>
    </x:row>
    <x:row r="19" ht="15" hidden="0" customHeight="1">
      <x:c r="A19" t="str">
        <x:v>MAY26-VTK-AS-SPI-001</x:v>
      </x:c>
      <x:c r="B19" t="str">
        <x:v>2026-05</x:v>
      </x:c>
      <x:c r="C19" s="12" t="n">
        <x:v>46143</x:v>
      </x:c>
      <x:c r="D19" s="12" t="n">
        <x:v>46173</x:v>
      </x:c>
      <x:c r="E19" t="str">
        <x:v>DROP</x:v>
      </x:c>
      <x:c r="F19" t="str">
        <x:v>VTK/TDB</x:v>
      </x:c>
      <x:c r="G19" t="str">
        <x:v>Todos</x:v>
      </x:c>
      <x:c r="H19" t="str">
        <x:v>SPIRITS</x:v>
      </x:c>
      <x:c r="I19" s="18" t="str">
        <x:v>Familia Smirnoff y Gordons</x:v>
      </x:c>
      <x:c r="J19" s="18" t="str">
        <x:v>FAMILIA SMIRNOFF Y GORDONS</x:v>
      </x:c>
      <x:c r="K19" s="18" t="str"/>
      <x:c r="L19" s="18" t="str">
        <x:v>1 caja o más -&gt; 6%</x:v>
      </x:c>
      <x:c r="M19" s="18" t="str">
        <x:v>CAJA</x:v>
      </x:c>
      <x:c r="N19" s="18" t="n">
        <x:v>1</x:v>
      </x:c>
      <x:c r="O19" s="18"/>
      <x:c r="P19" s="18" t="str">
        <x:v>DESCUENTO</x:v>
      </x:c>
      <x:c r="Q19" s="19" t="n">
        <x:v>0.06</x:v>
      </x:c>
      <x:c r="R19" s="18"/>
      <x:c r="S19" s="18"/>
      <x:c r="T19" s="18"/>
      <x:c r="U19" s="18" t="str">
        <x:v>NO</x:v>
      </x:c>
      <x:c r="V19" s="19"/>
      <x:c r="W19" s="18" t="str">
        <x:v>NO_DEFINIDO</x:v>
      </x:c>
      <x:c r="X19" s="18" t="n">
        <x:v>10</x:v>
      </x:c>
      <x:c r="Y19" s="18" t="str">
        <x:v>NO</x:v>
      </x:c>
      <x:c r="Z19" s="18" t="str"/>
      <x:c r="AA19" t="str">
        <x:v>ACCIONES MAYO 2026 (3).pptx | Slide 2</x:v>
      </x:c>
    </x:row>
    <x:row r="20" ht="15" hidden="0" customHeight="1">
      <x:c r="A20" t="str">
        <x:v>MAY26-VTK-AS-SPI-IMP-001</x:v>
      </x:c>
      <x:c r="B20" t="str">
        <x:v>2026-05</x:v>
      </x:c>
      <x:c r="C20" s="12" t="n">
        <x:v>46143</x:v>
      </x:c>
      <x:c r="D20" s="12" t="n">
        <x:v>46173</x:v>
      </x:c>
      <x:c r="E20" t="str">
        <x:v>DROP</x:v>
      </x:c>
      <x:c r="F20" t="str">
        <x:v>VTK/TDB</x:v>
      </x:c>
      <x:c r="G20" t="str">
        <x:v>Todos</x:v>
      </x:c>
      <x:c r="H20" t="str">
        <x:v>SPIRITS IMPORTADOS</x:v>
      </x:c>
      <x:c r="I20" s="18" t="str">
        <x:v>Ver imagen</x:v>
      </x:c>
      <x:c r="J20" s="18" t="str">
        <x:v>VER IMAGEN</x:v>
      </x:c>
      <x:c r="K20" s="18" t="str"/>
      <x:c r="L20" s="18" t="str">
        <x:v>1 caja o más -&gt; 3%</x:v>
      </x:c>
      <x:c r="M20" s="18" t="str">
        <x:v>CAJA</x:v>
      </x:c>
      <x:c r="N20" s="18" t="n">
        <x:v>1</x:v>
      </x:c>
      <x:c r="O20" s="18"/>
      <x:c r="P20" s="18" t="str">
        <x:v>DESCUENTO</x:v>
      </x:c>
      <x:c r="Q20" s="19" t="n">
        <x:v>0.03</x:v>
      </x:c>
      <x:c r="R20" s="18"/>
      <x:c r="S20" s="18"/>
      <x:c r="T20" s="18"/>
      <x:c r="U20" s="18" t="str">
        <x:v>NO</x:v>
      </x:c>
      <x:c r="V20" s="19"/>
      <x:c r="W20" s="18" t="str">
        <x:v>NO_DEFINIDO</x:v>
      </x:c>
      <x:c r="X20" s="18" t="n">
        <x:v>10</x:v>
      </x:c>
      <x:c r="Y20" s="18" t="str">
        <x:v>SI</x:v>
      </x:c>
      <x:c r="Z20" s="18" t="str">
        <x:v>Completar detalle desde imagen de importados.</x:v>
      </x:c>
      <x:c r="AA20" t="str">
        <x:v>ACCIONES MAYO 2026 (3).pptx | Slide 2</x:v>
      </x:c>
    </x:row>
    <x:row r="21" ht="15" hidden="0" customHeight="1">
      <x:c r="A21" t="str">
        <x:v>MAY26-ESP-INNO-001</x:v>
      </x:c>
      <x:c r="B21" t="str">
        <x:v>2026-05</x:v>
      </x:c>
      <x:c r="C21" s="12" t="n">
        <x:v>46143</x:v>
      </x:c>
      <x:c r="D21" s="12" t="n">
        <x:v>46173</x:v>
      </x:c>
      <x:c r="E21" t="str">
        <x:v>ESPECIAL</x:v>
      </x:c>
      <x:c r="F21" t="str">
        <x:v>TODOS</x:v>
      </x:c>
      <x:c r="G21" t="str">
        <x:v>Cualquier segmento</x:v>
      </x:c>
      <x:c r="H21" t="str">
        <x:v>INNOVACIONES</x:v>
      </x:c>
      <x:c r="I21" s="18" t="str">
        <x:v>Innovaciones Mayo</x:v>
      </x:c>
      <x:c r="J21" s="18" t="str">
        <x:v>CAZADOR; BAUTISMO CABERNET; ALMA MORA LOW; ALARIS DULCE COSECHA TINTO; SIDRA DADÁ; NC LATA; DON DAVID RED BLEND; BLEND DE EXTREMOS PINOT NOIR; DADA EXTRA BRUT; ESPUMANTE MEDALLA</x:v>
      </x:c>
      <x:c r="K21" s="18" t="str"/>
      <x:c r="L21" s="18" t="str">
        <x:v>15% de descuento por 3 unidades</x:v>
      </x:c>
      <x:c r="M21" s="18" t="str">
        <x:v>UNIDAD</x:v>
      </x:c>
      <x:c r="N21" s="18" t="n">
        <x:v>3</x:v>
      </x:c>
      <x:c r="O21" s="18" t="n">
        <x:v>5</x:v>
      </x:c>
      <x:c r="P21" s="18" t="str">
        <x:v>DESCUENTO</x:v>
      </x:c>
      <x:c r="Q21" s="19" t="n">
        <x:v>0.15</x:v>
      </x:c>
      <x:c r="R21" s="18"/>
      <x:c r="S21" s="18"/>
      <x:c r="T21" s="18"/>
      <x:c r="U21" s="18" t="str">
        <x:v>NO</x:v>
      </x:c>
      <x:c r="V21" s="19"/>
      <x:c r="W21" s="18" t="str">
        <x:v>NO_DEFINIDO</x:v>
      </x:c>
      <x:c r="X21" s="18" t="n">
        <x:v>20</x:v>
      </x:c>
      <x:c r="Y21" s="18" t="str">
        <x:v>SI</x:v>
      </x:c>
      <x:c r="Z21" s="18" t="str">
        <x:v>PPT dice 'por 3 unidad'. Max 5 asumido porque a partir de +5 bultos aplica regla superior; revisar si 4/5 unidades también aplican 15%.</x:v>
      </x:c>
      <x:c r="AA21" t="str">
        <x:v>ACCIONES MAYO 2026 (3).pptx | Slide 3</x:v>
      </x:c>
    </x:row>
    <x:row r="22" ht="15" hidden="0" customHeight="1">
      <x:c r="A22" t="str">
        <x:v>MAY26-ESP-INNO-002</x:v>
      </x:c>
      <x:c r="B22" t="str">
        <x:v>2026-05</x:v>
      </x:c>
      <x:c r="C22" s="12" t="n">
        <x:v>46143</x:v>
      </x:c>
      <x:c r="D22" s="12" t="n">
        <x:v>46173</x:v>
      </x:c>
      <x:c r="E22" t="str">
        <x:v>ESPECIAL</x:v>
      </x:c>
      <x:c r="F22" t="str">
        <x:v>TODOS</x:v>
      </x:c>
      <x:c r="G22" t="str">
        <x:v>Cualquier segmento</x:v>
      </x:c>
      <x:c r="H22" t="str">
        <x:v>INNOVACIONES</x:v>
      </x:c>
      <x:c r="I22" s="18" t="str">
        <x:v>Innovaciones Mayo</x:v>
      </x:c>
      <x:c r="J22" s="18" t="str">
        <x:v>CAZADOR; BAUTISMO CABERNET; ALMA MORA LOW; ALARIS DULCE COSECHA TINTO; SIDRA DADÁ; NC LATA; DON DAVID RED BLEND; BLEND DE EXTREMOS PINOT NOIR; DADA EXTRA BRUT; ESPUMANTE MEDALLA</x:v>
      </x:c>
      <x:c r="K22" s="18" t="str"/>
      <x:c r="L22" s="18" t="str">
        <x:v>20% de descuento por +5 bultos, pueden ser surtidos</x:v>
      </x:c>
      <x:c r="M22" s="18" t="str">
        <x:v>BULTO</x:v>
      </x:c>
      <x:c r="N22" s="18" t="n">
        <x:v>6</x:v>
      </x:c>
      <x:c r="O22" s="18"/>
      <x:c r="P22" s="18" t="str">
        <x:v>DESCUENTO</x:v>
      </x:c>
      <x:c r="Q22" s="19" t="n">
        <x:v>0.2</x:v>
      </x:c>
      <x:c r="R22" s="18"/>
      <x:c r="S22" s="18"/>
      <x:c r="T22" s="18"/>
      <x:c r="U22" s="18" t="str">
        <x:v>NO</x:v>
      </x:c>
      <x:c r="V22" s="19"/>
      <x:c r="W22" s="18" t="str">
        <x:v>NO_DEFINIDO</x:v>
      </x:c>
      <x:c r="X22" s="18" t="n">
        <x:v>10</x:v>
      </x:c>
      <x:c r="Y22" s="18" t="str">
        <x:v>SI</x:v>
      </x:c>
      <x:c r="Z22" s="18" t="str">
        <x:v>Texto '+5 bultos' normalizado como mínimo 6; validar si comercialmente significa 5 o más.</x:v>
      </x:c>
      <x:c r="AA22" t="str">
        <x:v>ACCIONES MAYO 2026 (3).pptx | Slide 3</x:v>
      </x:c>
    </x:row>
    <x:row r="23" ht="15" hidden="0" customHeight="1">
      <x:c r="A23" t="str">
        <x:v>MAY26-ESP-SMIR-5MAS1-001</x:v>
      </x:c>
      <x:c r="B23" t="str">
        <x:v>2026-05</x:v>
      </x:c>
      <x:c r="C23" s="12" t="n">
        <x:v>46143</x:v>
      </x:c>
      <x:c r="D23" s="12" t="n">
        <x:v>46173</x:v>
      </x:c>
      <x:c r="E23" t="str">
        <x:v>ESPECIAL</x:v>
      </x:c>
      <x:c r="F23" t="str">
        <x:v>ON PREMISE NOCHE; BARES</x:v>
      </x:c>
      <x:c r="G23" t="str">
        <x:v>Solo clientes On Premise Noche y Bares</x:v>
      </x:c>
      <x:c r="H23" t="str">
        <x:v>SPIRITS</x:v>
      </x:c>
      <x:c r="I23" s="18" t="str">
        <x:v>SMIRNOFF</x:v>
      </x:c>
      <x:c r="J23" s="18" t="str">
        <x:v>SMIRNOFF</x:v>
      </x:c>
      <x:c r="K23" s="18" t="str"/>
      <x:c r="L23" s="18" t="str">
        <x:v>Cada 5 cajas, 1 caja bonificada</x:v>
      </x:c>
      <x:c r="M23" s="18" t="str">
        <x:v>CAJA</x:v>
      </x:c>
      <x:c r="N23" s="18" t="n">
        <x:v>5</x:v>
      </x:c>
      <x:c r="O23" s="18"/>
      <x:c r="P23" s="18" t="str">
        <x:v>BONIFICACION</x:v>
      </x:c>
      <x:c r="Q23" s="19"/>
      <x:c r="R23" s="18" t="n">
        <x:v>5</x:v>
      </x:c>
      <x:c r="S23" s="18" t="n">
        <x:v>1</x:v>
      </x:c>
      <x:c r="T23" s="18" t="str">
        <x:v>ON PREMISE NOCHE: 200 cajas; BARES: 75 cajas</x:v>
      </x:c>
      <x:c r="U23" s="18" t="str">
        <x:v>NO</x:v>
      </x:c>
      <x:c r="V23" s="19"/>
      <x:c r="W23" s="18" t="str">
        <x:v>NO_DEFINIDO</x:v>
      </x:c>
      <x:c r="X23" s="18" t="n">
        <x:v>10</x:v>
      </x:c>
      <x:c r="Y23" s="18" t="str">
        <x:v>NO</x:v>
      </x:c>
      <x:c r="Z23" s="18" t="str">
        <x:v>Aplicar mientras cumpla segmento. Registrar bonificación como gasto en cajas/importe equivalente.</x:v>
      </x:c>
      <x:c r="AA23" t="str">
        <x:v>ACCIONES MAYO 2026 (3).pptx | Slide 3</x:v>
      </x:c>
    </x:row>
    <x:row r="24" ht="15" hidden="0" customHeight="1">
      <x:c r="A24" t="str">
        <x:v>MAY26-PLANAS-VDA-001</x:v>
      </x:c>
      <x:c r="B24" t="str">
        <x:v>2026-05</x:v>
      </x:c>
      <x:c r="C24" s="12" t="n">
        <x:v>46143</x:v>
      </x:c>
      <x:c r="D24" s="12" t="n">
        <x:v>46173</x:v>
      </x:c>
      <x:c r="E24" t="str">
        <x:v>PLAN_AS</x:v>
      </x:c>
      <x:c r="F24" t="str">
        <x:v>PLANES AASS</x:v>
      </x:c>
      <x:c r="G24" t="str">
        <x:v>Plan AS</x:v>
      </x:c>
      <x:c r="H24" t="str">
        <x:v>VDA</x:v>
      </x:c>
      <x:c r="I24" s="18" t="str"/>
      <x:c r="J24" s="18" t="str">
        <x:v>VDA</x:v>
      </x:c>
      <x:c r="K24" s="18" t="str">
        <x:v>Vinos de Mesa; Masivos; Ultra Premium (Vinos); Super Premium (Spirits); Premium (Spirits); Standard solo JW RED</x:v>
      </x:c>
      <x:c r="L24" s="18" t="str">
        <x:v>10% dto sin mínimo y sin topes</x:v>
      </x:c>
      <x:c r="M24" s="18" t="str">
        <x:v>SIN_MINIMO</x:v>
      </x:c>
      <x:c r="N24" s="18" t="n">
        <x:v>0</x:v>
      </x:c>
      <x:c r="O24" s="18"/>
      <x:c r="P24" s="18" t="str">
        <x:v>DESCUENTO</x:v>
      </x:c>
      <x:c r="Q24" s="19" t="n">
        <x:v>0.1</x:v>
      </x:c>
      <x:c r="R24" s="18"/>
      <x:c r="S24" s="18"/>
      <x:c r="T24" s="18"/>
      <x:c r="U24" s="18" t="str">
        <x:v>NO</x:v>
      </x:c>
      <x:c r="V24" s="19"/>
      <x:c r="W24" s="18" t="str">
        <x:v>NO_DEFINIDO</x:v>
      </x:c>
      <x:c r="X24" s="18" t="n">
        <x:v>10</x:v>
      </x:c>
      <x:c r="Y24" s="18" t="str">
        <x:v>NO</x:v>
      </x:c>
      <x:c r="Z24" s="18" t="str"/>
      <x:c r="AA24" t="str">
        <x:v>ACCIONES MAYO 2026 (3).pptx | Slide 4</x:v>
      </x:c>
    </x:row>
    <x:row r="25" ht="15" hidden="0" customHeight="1">
      <x:c r="A25" t="str">
        <x:v>MAY26-PLANAS-SPI-001</x:v>
      </x:c>
      <x:c r="B25" t="str">
        <x:v>2026-05</x:v>
      </x:c>
      <x:c r="C25" s="12" t="n">
        <x:v>46143</x:v>
      </x:c>
      <x:c r="D25" s="12" t="n">
        <x:v>46173</x:v>
      </x:c>
      <x:c r="E25" t="str">
        <x:v>PLAN_AS</x:v>
      </x:c>
      <x:c r="F25" t="str">
        <x:v>PLANES AASS</x:v>
      </x:c>
      <x:c r="G25" t="str">
        <x:v>Plan AS</x:v>
      </x:c>
      <x:c r="H25" t="str">
        <x:v>SPIRITS</x:v>
      </x:c>
      <x:c r="I25" s="18" t="str">
        <x:v>Flia Gordons; Flia Smirnoff</x:v>
      </x:c>
      <x:c r="J25" s="18" t="str">
        <x:v>FLIA GORDONS; FLIA SMIRNOFF</x:v>
      </x:c>
      <x:c r="K25" s="18" t="str">
        <x:v>Vinos de Mesa; Masivos; Ultra Premium (Vinos); Super Premium (Spirits); Premium (Spirits); Standard solo JW RED</x:v>
      </x:c>
      <x:c r="L25" s="18" t="str">
        <x:v>10% dto sin mínimo y sin topes</x:v>
      </x:c>
      <x:c r="M25" s="18" t="str">
        <x:v>SIN_MINIMO</x:v>
      </x:c>
      <x:c r="N25" s="18" t="n">
        <x:v>0</x:v>
      </x:c>
      <x:c r="O25" s="18"/>
      <x:c r="P25" s="18" t="str">
        <x:v>DESCUENTO</x:v>
      </x:c>
      <x:c r="Q25" s="19" t="n">
        <x:v>0.1</x:v>
      </x:c>
      <x:c r="R25" s="18"/>
      <x:c r="S25" s="18"/>
      <x:c r="T25" s="18"/>
      <x:c r="U25" s="18" t="str">
        <x:v>NO</x:v>
      </x:c>
      <x:c r="V25" s="19"/>
      <x:c r="W25" s="18" t="str">
        <x:v>NO_DEFINIDO</x:v>
      </x:c>
      <x:c r="X25" s="18" t="n">
        <x:v>10</x:v>
      </x:c>
      <x:c r="Y25" s="18" t="str">
        <x:v>NO</x:v>
      </x:c>
      <x:c r="Z25" s="18" t="str"/>
      <x:c r="AA25" t="str">
        <x:v>ACCIONES MAYO 2026 (3).pptx | Slide 4</x:v>
      </x:c>
    </x:row>
    <x:row r="26" ht="15" hidden="0" customHeight="1">
      <x:c r="A26" t="str">
        <x:v>MAY26-PLANAS-ESP-001</x:v>
      </x:c>
      <x:c r="B26" t="str">
        <x:v>2026-05</x:v>
      </x:c>
      <x:c r="C26" s="12" t="n">
        <x:v>46143</x:v>
      </x:c>
      <x:c r="D26" s="12" t="n">
        <x:v>46173</x:v>
      </x:c>
      <x:c r="E26" t="str">
        <x:v>PLAN_AS</x:v>
      </x:c>
      <x:c r="F26" t="str">
        <x:v>PLANES AASS</x:v>
      </x:c>
      <x:c r="G26" t="str">
        <x:v>Plan AS</x:v>
      </x:c>
      <x:c r="H26" t="str">
        <x:v>ESPUMANTES</x:v>
      </x:c>
      <x:c r="I26" s="18" t="str">
        <x:v>Suter; San Telmo; Dada</x:v>
      </x:c>
      <x:c r="J26" s="18" t="str">
        <x:v>SUTER; SAN TELMO; DADA</x:v>
      </x:c>
      <x:c r="K26" s="18" t="str">
        <x:v>Vinos de Mesa; Masivos; Ultra Premium (Vinos); Super Premium (Spirits); Premium (Spirits); Standard solo JW RED</x:v>
      </x:c>
      <x:c r="L26" s="18" t="str">
        <x:v>7% dto sin mínimo y sin topes</x:v>
      </x:c>
      <x:c r="M26" s="18" t="str">
        <x:v>SIN_MINIMO</x:v>
      </x:c>
      <x:c r="N26" s="18" t="n">
        <x:v>0</x:v>
      </x:c>
      <x:c r="O26" s="18"/>
      <x:c r="P26" s="18" t="str">
        <x:v>DESCUENTO</x:v>
      </x:c>
      <x:c r="Q26" s="19" t="n">
        <x:v>0.07</x:v>
      </x:c>
      <x:c r="R26" s="18"/>
      <x:c r="S26" s="18"/>
      <x:c r="T26" s="18"/>
      <x:c r="U26" s="18" t="str">
        <x:v>NO</x:v>
      </x:c>
      <x:c r="V26" s="19"/>
      <x:c r="W26" s="18" t="str">
        <x:v>NO_DEFINIDO</x:v>
      </x:c>
      <x:c r="X26" s="18" t="n">
        <x:v>10</x:v>
      </x:c>
      <x:c r="Y26" s="18" t="str">
        <x:v>NO</x:v>
      </x:c>
      <x:c r="Z26" s="18" t="str"/>
      <x:c r="AA26" t="str">
        <x:v>ACCIONES MAYO 2026 (3).pptx | Slide 4</x:v>
      </x:c>
    </x:row>
    <x:row r="27" ht="15" hidden="0" customHeight="1">
      <x:c r="A27" t="str">
        <x:v>MAY26-PLANAS-RESTO-001</x:v>
      </x:c>
      <x:c r="B27" t="str">
        <x:v>2026-05</x:v>
      </x:c>
      <x:c r="C27" s="12" t="n">
        <x:v>46143</x:v>
      </x:c>
      <x:c r="D27" s="12" t="n">
        <x:v>46173</x:v>
      </x:c>
      <x:c r="E27" t="str">
        <x:v>PLAN_AS</x:v>
      </x:c>
      <x:c r="F27" t="str">
        <x:v>PLANES AASS</x:v>
      </x:c>
      <x:c r="G27" t="str">
        <x:v>Plan AS</x:v>
      </x:c>
      <x:c r="H27" t="str">
        <x:v>RESTO SKU</x:v>
      </x:c>
      <x:c r="I27" s="18" t="str">
        <x:v>Resto de SKU</x:v>
      </x:c>
      <x:c r="J27" s="18" t="str">
        <x:v>RESTO SKU</x:v>
      </x:c>
      <x:c r="K27" s="18" t="str">
        <x:v>Vinos de Mesa; Masivos; Ultra Premium (Vinos); Super Premium (Spirits); Premium (Spirits); Standard solo JW RED</x:v>
      </x:c>
      <x:c r="L27" s="18" t="str">
        <x:v>6% dto sin mínimo</x:v>
      </x:c>
      <x:c r="M27" s="18" t="str">
        <x:v>SIN_MINIMO</x:v>
      </x:c>
      <x:c r="N27" s="18" t="n">
        <x:v>0</x:v>
      </x:c>
      <x:c r="O27" s="18"/>
      <x:c r="P27" s="18" t="str">
        <x:v>DESCUENTO</x:v>
      </x:c>
      <x:c r="Q27" s="19" t="n">
        <x:v>0.06</x:v>
      </x:c>
      <x:c r="R27" s="18"/>
      <x:c r="S27" s="18"/>
      <x:c r="T27" s="18"/>
      <x:c r="U27" s="18" t="str">
        <x:v>NO</x:v>
      </x:c>
      <x:c r="V27" s="19"/>
      <x:c r="W27" s="18" t="str">
        <x:v>NO_DEFINIDO</x:v>
      </x:c>
      <x:c r="X27" s="18" t="n">
        <x:v>50</x:v>
      </x:c>
      <x:c r="Y27" s="18" t="str">
        <x:v>NO</x:v>
      </x:c>
      <x:c r="Z27" s="18" t="str">
        <x:v>Regla residual; aplicar solo si no matchea VDA, Spirits o Espumantes del plan.</x:v>
      </x:c>
      <x:c r="AA27" t="str">
        <x:v>ACCIONES MAYO 2026 (3).pptx | Slide 4</x:v>
      </x:c>
    </x:row>
    <x:row r="28" ht="15" hidden="0" customHeight="1">
      <x:c r="A28" t="str">
        <x:v>MAY26-VOL-PM-VDA-001</x:v>
      </x:c>
      <x:c r="B28" t="str">
        <x:v>2026-05</x:v>
      </x:c>
      <x:c r="C28" s="12" t="n">
        <x:v>46143</x:v>
      </x:c>
      <x:c r="D28" s="12" t="n">
        <x:v>46173</x:v>
      </x:c>
      <x:c r="E28" t="str">
        <x:v>VOLUMEN</x:v>
      </x:c>
      <x:c r="F28" t="str">
        <x:v>PETIT MAYORISTAS</x:v>
      </x:c>
      <x:c r="G28" t="str">
        <x:v>Petit Mayoristas</x:v>
      </x:c>
      <x:c r="H28" t="str">
        <x:v>VDA</x:v>
      </x:c>
      <x:c r="I28" s="18" t="str"/>
      <x:c r="J28" s="18" t="str">
        <x:v>VDA</x:v>
      </x:c>
      <x:c r="K28" s="18" t="str"/>
      <x:c r="L28" s="18" t="str">
        <x:v>+ de 50 cajas -&gt; 12% Dto</x:v>
      </x:c>
      <x:c r="M28" s="18" t="str">
        <x:v>CAJA</x:v>
      </x:c>
      <x:c r="N28" s="18" t="n">
        <x:v>51</x:v>
      </x:c>
      <x:c r="O28" s="18"/>
      <x:c r="P28" s="18" t="str">
        <x:v>DESCUENTO</x:v>
      </x:c>
      <x:c r="Q28" s="19" t="n">
        <x:v>0.12</x:v>
      </x:c>
      <x:c r="R28" s="18"/>
      <x:c r="S28" s="18"/>
      <x:c r="T28" s="18"/>
      <x:c r="U28" s="18" t="str">
        <x:v>NO</x:v>
      </x:c>
      <x:c r="V28" s="19"/>
      <x:c r="W28" s="18" t="str">
        <x:v>NO_DEFINIDO</x:v>
      </x:c>
      <x:c r="X28" s="18" t="n">
        <x:v>20</x:v>
      </x:c>
      <x:c r="Y28" s="18" t="str">
        <x:v>NO</x:v>
      </x:c>
      <x:c r="Z28" s="18" t="str"/>
      <x:c r="AA28" t="str">
        <x:v>ACCIONES MAYO 2026 (3).pptx | Slide 5</x:v>
      </x:c>
    </x:row>
    <x:row r="29" ht="15" hidden="0" customHeight="1">
      <x:c r="A29" t="str">
        <x:v>MAY26-VOL-PM-VDA-DEP-001</x:v>
      </x:c>
      <x:c r="B29" t="str">
        <x:v>2026-05</x:v>
      </x:c>
      <x:c r="C29" s="12" t="n">
        <x:v>46143</x:v>
      </x:c>
      <x:c r="D29" s="12" t="n">
        <x:v>46173</x:v>
      </x:c>
      <x:c r="E29" t="str">
        <x:v>VOLUMEN</x:v>
      </x:c>
      <x:c r="F29" t="str">
        <x:v>PETIT MAYORISTAS</x:v>
      </x:c>
      <x:c r="G29" t="str">
        <x:v>Petit Mayoristas</x:v>
      </x:c>
      <x:c r="H29" t="str">
        <x:v>VDA</x:v>
      </x:c>
      <x:c r="I29" s="18" t="str"/>
      <x:c r="J29" s="18" t="str">
        <x:v>VDA</x:v>
      </x:c>
      <x:c r="K29" s="18" t="str"/>
      <x:c r="L29" s="18" t="str">
        <x:v>+ de 50 cajas y retiro por depósito -&gt; 15% Dto</x:v>
      </x:c>
      <x:c r="M29" s="18" t="str">
        <x:v>CAJA</x:v>
      </x:c>
      <x:c r="N29" s="18" t="n">
        <x:v>51</x:v>
      </x:c>
      <x:c r="O29" s="18"/>
      <x:c r="P29" s="18" t="str">
        <x:v>DESCUENTO</x:v>
      </x:c>
      <x:c r="Q29" s="19" t="n">
        <x:v>0.15</x:v>
      </x:c>
      <x:c r="R29" s="18"/>
      <x:c r="S29" s="18"/>
      <x:c r="T29" s="18"/>
      <x:c r="U29" s="18" t="str">
        <x:v>SI</x:v>
      </x:c>
      <x:c r="V29" s="19" t="n">
        <x:v>0.15</x:v>
      </x:c>
      <x:c r="W29" s="18" t="str">
        <x:v>NO_DEFINIDO</x:v>
      </x:c>
      <x:c r="X29" s="18" t="n">
        <x:v>10</x:v>
      </x:c>
      <x:c r="Y29" s="18" t="str">
        <x:v>NO</x:v>
      </x:c>
      <x:c r="Z29" s="18" t="str"/>
      <x:c r="AA29" t="str">
        <x:v>ACCIONES MAYO 2026 (3).pptx | Slide 5</x:v>
      </x:c>
    </x:row>
    <x:row r="30" ht="15" hidden="0" customHeight="1">
      <x:c r="A30" t="str">
        <x:v>MAY26-VOL-PM-SPI-001</x:v>
      </x:c>
      <x:c r="B30" t="str">
        <x:v>2026-05</x:v>
      </x:c>
      <x:c r="C30" s="12" t="n">
        <x:v>46143</x:v>
      </x:c>
      <x:c r="D30" s="12" t="n">
        <x:v>46173</x:v>
      </x:c>
      <x:c r="E30" t="str">
        <x:v>VOLUMEN</x:v>
      </x:c>
      <x:c r="F30" t="str">
        <x:v>PETIT MAYORISTAS</x:v>
      </x:c>
      <x:c r="G30" t="str">
        <x:v>Petit Mayoristas</x:v>
      </x:c>
      <x:c r="H30" t="str">
        <x:v>SPIRITS</x:v>
      </x:c>
      <x:c r="I30" s="18" t="str">
        <x:v>Flia Gordons; Flia Smirnoff</x:v>
      </x:c>
      <x:c r="J30" s="18" t="str">
        <x:v>FLIA GORDONS; FLIA SMIRNOFF</x:v>
      </x:c>
      <x:c r="K30" s="18" t="str"/>
      <x:c r="L30" s="18" t="str">
        <x:v>+ de 50 cajas -&gt; 12% Dto</x:v>
      </x:c>
      <x:c r="M30" s="18" t="str">
        <x:v>CAJA</x:v>
      </x:c>
      <x:c r="N30" s="18" t="n">
        <x:v>51</x:v>
      </x:c>
      <x:c r="O30" s="18"/>
      <x:c r="P30" s="18" t="str">
        <x:v>DESCUENTO</x:v>
      </x:c>
      <x:c r="Q30" s="19" t="n">
        <x:v>0.12</x:v>
      </x:c>
      <x:c r="R30" s="18"/>
      <x:c r="S30" s="18"/>
      <x:c r="T30" s="18"/>
      <x:c r="U30" s="18" t="str">
        <x:v>NO</x:v>
      </x:c>
      <x:c r="V30" s="19"/>
      <x:c r="W30" s="18" t="str">
        <x:v>NO_DEFINIDO</x:v>
      </x:c>
      <x:c r="X30" s="18" t="n">
        <x:v>20</x:v>
      </x:c>
      <x:c r="Y30" s="18" t="str">
        <x:v>NO</x:v>
      </x:c>
      <x:c r="Z30" s="18" t="str"/>
      <x:c r="AA30" t="str">
        <x:v>ACCIONES MAYO 2026 (3).pptx | Slide 5</x:v>
      </x:c>
    </x:row>
    <x:row r="31" ht="15" hidden="0" customHeight="1">
      <x:c r="A31" t="str">
        <x:v>MAY26-VOL-PM-SPI-DEP-001</x:v>
      </x:c>
      <x:c r="B31" t="str">
        <x:v>2026-05</x:v>
      </x:c>
      <x:c r="C31" s="12" t="n">
        <x:v>46143</x:v>
      </x:c>
      <x:c r="D31" s="12" t="n">
        <x:v>46173</x:v>
      </x:c>
      <x:c r="E31" t="str">
        <x:v>VOLUMEN</x:v>
      </x:c>
      <x:c r="F31" t="str">
        <x:v>PETIT MAYORISTAS</x:v>
      </x:c>
      <x:c r="G31" t="str">
        <x:v>Petit Mayoristas</x:v>
      </x:c>
      <x:c r="H31" t="str">
        <x:v>SPIRITS</x:v>
      </x:c>
      <x:c r="I31" s="18" t="str">
        <x:v>Flia Gordons; Flia Smirnoff</x:v>
      </x:c>
      <x:c r="J31" s="18" t="str">
        <x:v>FLIA GORDONS; FLIA SMIRNOFF</x:v>
      </x:c>
      <x:c r="K31" s="18" t="str"/>
      <x:c r="L31" s="18" t="str">
        <x:v>+ de 50 cajas y retiro por depósito -&gt; 15% Dto</x:v>
      </x:c>
      <x:c r="M31" s="18" t="str">
        <x:v>CAJA</x:v>
      </x:c>
      <x:c r="N31" s="18" t="n">
        <x:v>51</x:v>
      </x:c>
      <x:c r="O31" s="18"/>
      <x:c r="P31" s="18" t="str">
        <x:v>DESCUENTO</x:v>
      </x:c>
      <x:c r="Q31" s="19" t="n">
        <x:v>0.15</x:v>
      </x:c>
      <x:c r="R31" s="18"/>
      <x:c r="S31" s="18"/>
      <x:c r="T31" s="18"/>
      <x:c r="U31" s="18" t="str">
        <x:v>SI</x:v>
      </x:c>
      <x:c r="V31" s="19" t="n">
        <x:v>0.15</x:v>
      </x:c>
      <x:c r="W31" s="18" t="str">
        <x:v>NO_DEFINIDO</x:v>
      </x:c>
      <x:c r="X31" s="18" t="n">
        <x:v>10</x:v>
      </x:c>
      <x:c r="Y31" s="18" t="str">
        <x:v>NO</x:v>
      </x:c>
      <x:c r="Z31" s="18" t="str"/>
      <x:c r="AA31" t="str">
        <x:v>ACCIONES MAYO 2026 (3).pptx | Slide 5</x:v>
      </x:c>
    </x:row>
    <x:row r="32" ht="15" hidden="0" customHeight="1">
      <x:c r="A32" t="str">
        <x:v>MAY26-VOL-PM-ESP-001</x:v>
      </x:c>
      <x:c r="B32" t="str">
        <x:v>2026-05</x:v>
      </x:c>
      <x:c r="C32" s="12" t="n">
        <x:v>46143</x:v>
      </x:c>
      <x:c r="D32" s="12" t="n">
        <x:v>46173</x:v>
      </x:c>
      <x:c r="E32" t="str">
        <x:v>VOLUMEN</x:v>
      </x:c>
      <x:c r="F32" t="str">
        <x:v>PETIT MAYORISTAS</x:v>
      </x:c>
      <x:c r="G32" t="str">
        <x:v>Petit Mayoristas</x:v>
      </x:c>
      <x:c r="H32" t="str">
        <x:v>ESPUMANTES</x:v>
      </x:c>
      <x:c r="I32" s="18" t="str">
        <x:v>Suter; San Telmo; Dada</x:v>
      </x:c>
      <x:c r="J32" s="18" t="str">
        <x:v>SUTER; SAN TELMO; DADA</x:v>
      </x:c>
      <x:c r="K32" s="18" t="str"/>
      <x:c r="L32" s="18" t="str">
        <x:v>10 cajas -&gt; 10% Dto</x:v>
      </x:c>
      <x:c r="M32" s="18" t="str">
        <x:v>CAJA</x:v>
      </x:c>
      <x:c r="N32" s="18" t="n">
        <x:v>10</x:v>
      </x:c>
      <x:c r="O32" s="18"/>
      <x:c r="P32" s="18" t="str">
        <x:v>DESCUENTO</x:v>
      </x:c>
      <x:c r="Q32" s="19" t="n">
        <x:v>0.1</x:v>
      </x:c>
      <x:c r="R32" s="18"/>
      <x:c r="S32" s="18"/>
      <x:c r="T32" s="18"/>
      <x:c r="U32" s="18" t="str">
        <x:v>NO</x:v>
      </x:c>
      <x:c r="V32" s="19"/>
      <x:c r="W32" s="18" t="str">
        <x:v>NO_DEFINIDO</x:v>
      </x:c>
      <x:c r="X32" s="18" t="n">
        <x:v>10</x:v>
      </x:c>
      <x:c r="Y32" s="18" t="str">
        <x:v>NO</x:v>
      </x:c>
      <x:c r="Z32" s="18" t="str"/>
      <x:c r="AA32" t="str">
        <x:v>ACCIONES MAYO 2026 (3).pptx | Slide 5</x:v>
      </x:c>
    </x:row>
    <x:row r="33">
      <x:c r="C33" s="12"/>
      <x:c r="D33" s="12"/>
      <x:c r="I33" s="18"/>
      <x:c r="J33" s="18"/>
      <x:c r="K33" s="18"/>
      <x:c r="L33" s="18"/>
      <x:c r="M33" s="18"/>
      <x:c r="N33" s="18"/>
      <x:c r="O33" s="18"/>
      <x:c r="P33" s="18"/>
      <x:c r="Q33" s="19"/>
      <x:c r="R33" s="18"/>
      <x:c r="S33" s="18"/>
      <x:c r="T33" s="18"/>
      <x:c r="U33" s="18"/>
      <x:c r="V33" s="19"/>
      <x:c r="W33" s="18"/>
      <x:c r="X33" s="18"/>
      <x:c r="Y33" s="18"/>
      <x:c r="Z33" s="18"/>
    </x:row>
    <x:row r="34">
      <x:c r="C34" s="12"/>
      <x:c r="D34" s="12"/>
      <x:c r="I34" s="18"/>
      <x:c r="J34" s="18"/>
      <x:c r="K34" s="18"/>
      <x:c r="L34" s="18"/>
      <x:c r="M34" s="18"/>
      <x:c r="N34" s="18"/>
      <x:c r="O34" s="18"/>
      <x:c r="P34" s="18"/>
      <x:c r="Q34" s="19"/>
      <x:c r="R34" s="18"/>
      <x:c r="S34" s="18"/>
      <x:c r="T34" s="18"/>
      <x:c r="U34" s="18"/>
      <x:c r="V34" s="19"/>
      <x:c r="W34" s="18"/>
      <x:c r="X34" s="18"/>
      <x:c r="Y34" s="18"/>
      <x:c r="Z34" s="18"/>
    </x:row>
    <x:row r="35">
      <x:c r="C35" s="12"/>
      <x:c r="D35" s="12"/>
      <x:c r="I35" s="18"/>
      <x:c r="J35" s="18"/>
      <x:c r="K35" s="18"/>
      <x:c r="L35" s="18"/>
      <x:c r="M35" s="18"/>
      <x:c r="N35" s="18"/>
      <x:c r="O35" s="18"/>
      <x:c r="P35" s="18"/>
      <x:c r="Q35" s="19"/>
      <x:c r="R35" s="18"/>
      <x:c r="S35" s="18"/>
      <x:c r="T35" s="18"/>
      <x:c r="U35" s="18"/>
      <x:c r="V35" s="19"/>
      <x:c r="W35" s="18"/>
      <x:c r="X35" s="18"/>
      <x:c r="Y35" s="18"/>
      <x:c r="Z35" s="18"/>
    </x:row>
    <x:row r="36">
      <x:c r="C36" s="12"/>
      <x:c r="D36" s="12"/>
      <x:c r="I36" s="18"/>
      <x:c r="J36" s="18"/>
      <x:c r="K36" s="18"/>
      <x:c r="L36" s="18"/>
      <x:c r="M36" s="18"/>
      <x:c r="N36" s="18"/>
      <x:c r="O36" s="18"/>
      <x:c r="P36" s="18"/>
      <x:c r="Q36" s="19"/>
      <x:c r="R36" s="18"/>
      <x:c r="S36" s="18"/>
      <x:c r="T36" s="18"/>
      <x:c r="U36" s="18"/>
      <x:c r="V36" s="19"/>
      <x:c r="W36" s="18"/>
      <x:c r="X36" s="18"/>
      <x:c r="Y36" s="18"/>
      <x:c r="Z36" s="18"/>
    </x:row>
    <x:row r="37">
      <x:c r="C37" s="12"/>
      <x:c r="D37" s="12"/>
      <x:c r="I37" s="18"/>
      <x:c r="J37" s="18"/>
      <x:c r="K37" s="18"/>
      <x:c r="L37" s="18"/>
      <x:c r="M37" s="18"/>
      <x:c r="N37" s="18"/>
      <x:c r="O37" s="18"/>
      <x:c r="P37" s="18"/>
      <x:c r="Q37" s="19"/>
      <x:c r="R37" s="18"/>
      <x:c r="S37" s="18"/>
      <x:c r="T37" s="18"/>
      <x:c r="U37" s="18"/>
      <x:c r="V37" s="19"/>
      <x:c r="W37" s="18"/>
      <x:c r="X37" s="18"/>
      <x:c r="Y37" s="18"/>
      <x:c r="Z37" s="18"/>
    </x:row>
    <x:row r="38">
      <x:c r="C38" s="12"/>
      <x:c r="D38" s="12"/>
      <x:c r="I38" s="18"/>
      <x:c r="J38" s="18"/>
      <x:c r="K38" s="18"/>
      <x:c r="L38" s="18"/>
      <x:c r="M38" s="18"/>
      <x:c r="N38" s="18"/>
      <x:c r="O38" s="18"/>
      <x:c r="P38" s="18"/>
      <x:c r="Q38" s="19"/>
      <x:c r="R38" s="18"/>
      <x:c r="S38" s="18"/>
      <x:c r="T38" s="18"/>
      <x:c r="U38" s="18"/>
      <x:c r="V38" s="19"/>
      <x:c r="W38" s="18"/>
      <x:c r="X38" s="18"/>
      <x:c r="Y38" s="18"/>
      <x:c r="Z38" s="18"/>
    </x:row>
    <x:row r="39">
      <x:c r="C39" s="12"/>
      <x:c r="D39" s="12"/>
      <x:c r="I39" s="18"/>
      <x:c r="J39" s="18"/>
      <x:c r="K39" s="18"/>
      <x:c r="L39" s="18"/>
      <x:c r="M39" s="18"/>
      <x:c r="N39" s="18"/>
      <x:c r="O39" s="18"/>
      <x:c r="P39" s="18"/>
      <x:c r="Q39" s="19"/>
      <x:c r="R39" s="18"/>
      <x:c r="S39" s="18"/>
      <x:c r="T39" s="18"/>
      <x:c r="U39" s="18"/>
      <x:c r="V39" s="19"/>
      <x:c r="W39" s="18"/>
      <x:c r="X39" s="18"/>
      <x:c r="Y39" s="18"/>
      <x:c r="Z39" s="18"/>
    </x:row>
    <x:row r="40">
      <x:c r="C40" s="12"/>
      <x:c r="D40" s="12"/>
      <x:c r="I40" s="18"/>
      <x:c r="J40" s="18"/>
      <x:c r="K40" s="18"/>
      <x:c r="L40" s="18"/>
      <x:c r="M40" s="18"/>
      <x:c r="N40" s="18"/>
      <x:c r="O40" s="18"/>
      <x:c r="P40" s="18"/>
      <x:c r="Q40" s="19"/>
      <x:c r="R40" s="18"/>
      <x:c r="S40" s="18"/>
      <x:c r="T40" s="18"/>
      <x:c r="U40" s="18"/>
      <x:c r="V40" s="19"/>
      <x:c r="W40" s="18"/>
      <x:c r="X40" s="18"/>
      <x:c r="Y40" s="18"/>
      <x:c r="Z40" s="18"/>
    </x:row>
    <x:row r="41">
      <x:c r="C41" s="12"/>
      <x:c r="D41" s="12"/>
      <x:c r="I41" s="18"/>
      <x:c r="J41" s="18"/>
      <x:c r="K41" s="18"/>
      <x:c r="L41" s="18"/>
      <x:c r="M41" s="18"/>
      <x:c r="N41" s="18"/>
      <x:c r="O41" s="18"/>
      <x:c r="P41" s="18"/>
      <x:c r="Q41" s="19"/>
      <x:c r="R41" s="18"/>
      <x:c r="S41" s="18"/>
      <x:c r="T41" s="18"/>
      <x:c r="U41" s="18"/>
      <x:c r="V41" s="19"/>
      <x:c r="W41" s="18"/>
      <x:c r="X41" s="18"/>
      <x:c r="Y41" s="18"/>
      <x:c r="Z41" s="18"/>
    </x:row>
    <x:row r="42">
      <x:c r="C42" s="12"/>
      <x:c r="D42" s="12"/>
      <x:c r="I42" s="18"/>
      <x:c r="J42" s="18"/>
      <x:c r="K42" s="18"/>
      <x:c r="L42" s="18"/>
      <x:c r="M42" s="18"/>
      <x:c r="N42" s="18"/>
      <x:c r="O42" s="18"/>
      <x:c r="P42" s="18"/>
      <x:c r="Q42" s="19"/>
      <x:c r="R42" s="18"/>
      <x:c r="S42" s="18"/>
      <x:c r="T42" s="18"/>
      <x:c r="U42" s="18"/>
      <x:c r="V42" s="19"/>
      <x:c r="W42" s="18"/>
      <x:c r="X42" s="18"/>
      <x:c r="Y42" s="18"/>
      <x:c r="Z42" s="18"/>
    </x:row>
    <x:row r="43">
      <x:c r="C43" s="12"/>
      <x:c r="D43" s="12"/>
      <x:c r="I43" s="18"/>
      <x:c r="J43" s="18"/>
      <x:c r="K43" s="18"/>
      <x:c r="L43" s="18"/>
      <x:c r="M43" s="18"/>
      <x:c r="N43" s="18"/>
      <x:c r="O43" s="18"/>
      <x:c r="P43" s="18"/>
      <x:c r="Q43" s="19"/>
      <x:c r="R43" s="18"/>
      <x:c r="S43" s="18"/>
      <x:c r="T43" s="18"/>
      <x:c r="U43" s="18"/>
      <x:c r="V43" s="19"/>
      <x:c r="W43" s="18"/>
      <x:c r="X43" s="18"/>
      <x:c r="Y43" s="18"/>
      <x:c r="Z43" s="18"/>
    </x:row>
    <x:row r="44">
      <x:c r="C44" s="12"/>
      <x:c r="D44" s="12"/>
      <x:c r="I44" s="18"/>
      <x:c r="J44" s="18"/>
      <x:c r="K44" s="18"/>
      <x:c r="L44" s="18"/>
      <x:c r="M44" s="18"/>
      <x:c r="N44" s="18"/>
      <x:c r="O44" s="18"/>
      <x:c r="P44" s="18"/>
      <x:c r="Q44" s="19"/>
      <x:c r="R44" s="18"/>
      <x:c r="S44" s="18"/>
      <x:c r="T44" s="18"/>
      <x:c r="U44" s="18"/>
      <x:c r="V44" s="19"/>
      <x:c r="W44" s="18"/>
      <x:c r="X44" s="18"/>
      <x:c r="Y44" s="18"/>
      <x:c r="Z44" s="18"/>
    </x:row>
    <x:row r="45">
      <x:c r="C45" s="12"/>
      <x:c r="D45" s="12"/>
      <x:c r="I45" s="18"/>
      <x:c r="J45" s="18"/>
      <x:c r="K45" s="18"/>
      <x:c r="L45" s="18"/>
      <x:c r="M45" s="18"/>
      <x:c r="N45" s="18"/>
      <x:c r="O45" s="18"/>
      <x:c r="P45" s="18"/>
      <x:c r="Q45" s="19"/>
      <x:c r="R45" s="18"/>
      <x:c r="S45" s="18"/>
      <x:c r="T45" s="18"/>
      <x:c r="U45" s="18"/>
      <x:c r="V45" s="19"/>
      <x:c r="W45" s="18"/>
      <x:c r="X45" s="18"/>
      <x:c r="Y45" s="18"/>
      <x:c r="Z45" s="18"/>
    </x:row>
    <x:row r="46">
      <x:c r="C46" s="12"/>
      <x:c r="D46" s="12"/>
      <x:c r="I46" s="18"/>
      <x:c r="J46" s="18"/>
      <x:c r="K46" s="18"/>
      <x:c r="L46" s="18"/>
      <x:c r="M46" s="18"/>
      <x:c r="N46" s="18"/>
      <x:c r="O46" s="18"/>
      <x:c r="P46" s="18"/>
      <x:c r="Q46" s="19"/>
      <x:c r="R46" s="18"/>
      <x:c r="S46" s="18"/>
      <x:c r="T46" s="18"/>
      <x:c r="U46" s="18"/>
      <x:c r="V46" s="19"/>
      <x:c r="W46" s="18"/>
      <x:c r="X46" s="18"/>
      <x:c r="Y46" s="18"/>
      <x:c r="Z46" s="18"/>
    </x:row>
    <x:row r="47">
      <x:c r="C47" s="12"/>
      <x:c r="D47" s="12"/>
      <x:c r="I47" s="18"/>
      <x:c r="J47" s="18"/>
      <x:c r="K47" s="18"/>
      <x:c r="L47" s="18"/>
      <x:c r="M47" s="18"/>
      <x:c r="N47" s="18"/>
      <x:c r="O47" s="18"/>
      <x:c r="P47" s="18"/>
      <x:c r="Q47" s="19"/>
      <x:c r="R47" s="18"/>
      <x:c r="S47" s="18"/>
      <x:c r="T47" s="18"/>
      <x:c r="U47" s="18"/>
      <x:c r="V47" s="19"/>
      <x:c r="W47" s="18"/>
      <x:c r="X47" s="18"/>
      <x:c r="Y47" s="18"/>
      <x:c r="Z47" s="18"/>
    </x:row>
    <x:row r="48">
      <x:c r="C48" s="12"/>
      <x:c r="D48" s="12"/>
      <x:c r="I48" s="18"/>
      <x:c r="J48" s="18"/>
      <x:c r="K48" s="18"/>
      <x:c r="L48" s="18"/>
      <x:c r="M48" s="18"/>
      <x:c r="N48" s="18"/>
      <x:c r="O48" s="18"/>
      <x:c r="P48" s="18"/>
      <x:c r="Q48" s="19"/>
      <x:c r="R48" s="18"/>
      <x:c r="S48" s="18"/>
      <x:c r="T48" s="18"/>
      <x:c r="U48" s="18"/>
      <x:c r="V48" s="19"/>
      <x:c r="W48" s="18"/>
      <x:c r="X48" s="18"/>
      <x:c r="Y48" s="18"/>
      <x:c r="Z48" s="18"/>
    </x:row>
    <x:row r="49">
      <x:c r="C49" s="12"/>
      <x:c r="D49" s="12"/>
      <x:c r="I49" s="18"/>
      <x:c r="J49" s="18"/>
      <x:c r="K49" s="18"/>
      <x:c r="L49" s="18"/>
      <x:c r="M49" s="18"/>
      <x:c r="N49" s="18"/>
      <x:c r="O49" s="18"/>
      <x:c r="P49" s="18"/>
      <x:c r="Q49" s="19"/>
      <x:c r="R49" s="18"/>
      <x:c r="S49" s="18"/>
      <x:c r="T49" s="18"/>
      <x:c r="U49" s="18"/>
      <x:c r="V49" s="19"/>
      <x:c r="W49" s="18"/>
      <x:c r="X49" s="18"/>
      <x:c r="Y49" s="18"/>
      <x:c r="Z49" s="18"/>
    </x:row>
    <x:row r="50">
      <x:c r="C50" s="12"/>
      <x:c r="D50" s="12"/>
      <x:c r="I50" s="18"/>
      <x:c r="J50" s="18"/>
      <x:c r="K50" s="18"/>
      <x:c r="L50" s="18"/>
      <x:c r="M50" s="18"/>
      <x:c r="N50" s="18"/>
      <x:c r="O50" s="18"/>
      <x:c r="P50" s="18"/>
      <x:c r="Q50" s="19"/>
      <x:c r="R50" s="18"/>
      <x:c r="S50" s="18"/>
      <x:c r="T50" s="18"/>
      <x:c r="U50" s="18"/>
      <x:c r="V50" s="19"/>
      <x:c r="W50" s="18"/>
      <x:c r="X50" s="18"/>
      <x:c r="Y50" s="18"/>
      <x:c r="Z50" s="18"/>
    </x:row>
    <x:row r="51">
      <x:c r="C51" s="12"/>
      <x:c r="D51" s="12"/>
      <x:c r="I51" s="18"/>
      <x:c r="J51" s="18"/>
      <x:c r="K51" s="18"/>
      <x:c r="L51" s="18"/>
      <x:c r="M51" s="18"/>
      <x:c r="N51" s="18"/>
      <x:c r="O51" s="18"/>
      <x:c r="P51" s="18"/>
      <x:c r="Q51" s="19"/>
      <x:c r="R51" s="18"/>
      <x:c r="S51" s="18"/>
      <x:c r="T51" s="18"/>
      <x:c r="U51" s="18"/>
      <x:c r="V51" s="19"/>
      <x:c r="W51" s="18"/>
      <x:c r="X51" s="18"/>
      <x:c r="Y51" s="18"/>
      <x:c r="Z51" s="18"/>
    </x:row>
    <x:row r="52">
      <x:c r="C52" s="12"/>
      <x:c r="D52" s="12"/>
      <x:c r="I52" s="18"/>
      <x:c r="J52" s="18"/>
      <x:c r="K52" s="18"/>
      <x:c r="L52" s="18"/>
      <x:c r="M52" s="18"/>
      <x:c r="N52" s="18"/>
      <x:c r="O52" s="18"/>
      <x:c r="P52" s="18"/>
      <x:c r="Q52" s="19"/>
      <x:c r="R52" s="18"/>
      <x:c r="S52" s="18"/>
      <x:c r="T52" s="18"/>
      <x:c r="U52" s="18"/>
      <x:c r="V52" s="19"/>
      <x:c r="W52" s="18"/>
      <x:c r="X52" s="18"/>
      <x:c r="Y52" s="18"/>
      <x:c r="Z52" s="18"/>
    </x:row>
    <x:row r="53">
      <x:c r="C53" s="12"/>
      <x:c r="D53" s="12"/>
      <x:c r="I53" s="18"/>
      <x:c r="J53" s="18"/>
      <x:c r="K53" s="18"/>
      <x:c r="L53" s="18"/>
      <x:c r="M53" s="18"/>
      <x:c r="N53" s="18"/>
      <x:c r="O53" s="18"/>
      <x:c r="P53" s="18"/>
      <x:c r="Q53" s="19"/>
      <x:c r="R53" s="18"/>
      <x:c r="S53" s="18"/>
      <x:c r="T53" s="18"/>
      <x:c r="U53" s="18"/>
      <x:c r="V53" s="19"/>
      <x:c r="W53" s="18"/>
      <x:c r="X53" s="18"/>
      <x:c r="Y53" s="18"/>
      <x:c r="Z53" s="18"/>
    </x:row>
    <x:row r="54">
      <x:c r="C54" s="12"/>
      <x:c r="D54" s="12"/>
      <x:c r="I54" s="18"/>
      <x:c r="J54" s="18"/>
      <x:c r="K54" s="18"/>
      <x:c r="L54" s="18"/>
      <x:c r="M54" s="18"/>
      <x:c r="N54" s="18"/>
      <x:c r="O54" s="18"/>
      <x:c r="P54" s="18"/>
      <x:c r="Q54" s="19"/>
      <x:c r="R54" s="18"/>
      <x:c r="S54" s="18"/>
      <x:c r="T54" s="18"/>
      <x:c r="U54" s="18"/>
      <x:c r="V54" s="19"/>
      <x:c r="W54" s="18"/>
      <x:c r="X54" s="18"/>
      <x:c r="Y54" s="18"/>
      <x:c r="Z54" s="18"/>
    </x:row>
    <x:row r="55">
      <x:c r="C55" s="12"/>
      <x:c r="D55" s="12"/>
      <x:c r="I55" s="18"/>
      <x:c r="J55" s="18"/>
      <x:c r="K55" s="18"/>
      <x:c r="L55" s="18"/>
      <x:c r="M55" s="18"/>
      <x:c r="N55" s="18"/>
      <x:c r="O55" s="18"/>
      <x:c r="P55" s="18"/>
      <x:c r="Q55" s="19"/>
      <x:c r="R55" s="18"/>
      <x:c r="S55" s="18"/>
      <x:c r="T55" s="18"/>
      <x:c r="U55" s="18"/>
      <x:c r="V55" s="19"/>
      <x:c r="W55" s="18"/>
      <x:c r="X55" s="18"/>
      <x:c r="Y55" s="18"/>
      <x:c r="Z55" s="18"/>
    </x:row>
    <x:row r="56">
      <x:c r="C56" s="12"/>
      <x:c r="D56" s="12"/>
      <x:c r="I56" s="18"/>
      <x:c r="J56" s="18"/>
      <x:c r="K56" s="18"/>
      <x:c r="L56" s="18"/>
      <x:c r="M56" s="18"/>
      <x:c r="N56" s="18"/>
      <x:c r="O56" s="18"/>
      <x:c r="P56" s="18"/>
      <x:c r="Q56" s="19"/>
      <x:c r="R56" s="18"/>
      <x:c r="S56" s="18"/>
      <x:c r="T56" s="18"/>
      <x:c r="U56" s="18"/>
      <x:c r="V56" s="19"/>
      <x:c r="W56" s="18"/>
      <x:c r="X56" s="18"/>
      <x:c r="Y56" s="18"/>
      <x:c r="Z56" s="18"/>
    </x:row>
    <x:row r="57">
      <x:c r="C57" s="12"/>
      <x:c r="D57" s="12"/>
      <x:c r="I57" s="18"/>
      <x:c r="J57" s="18"/>
      <x:c r="K57" s="18"/>
      <x:c r="L57" s="18"/>
      <x:c r="M57" s="18"/>
      <x:c r="N57" s="18"/>
      <x:c r="O57" s="18"/>
      <x:c r="P57" s="18"/>
      <x:c r="Q57" s="19"/>
      <x:c r="R57" s="18"/>
      <x:c r="S57" s="18"/>
      <x:c r="T57" s="18"/>
      <x:c r="U57" s="18"/>
      <x:c r="V57" s="19"/>
      <x:c r="W57" s="18"/>
      <x:c r="X57" s="18"/>
      <x:c r="Y57" s="18"/>
      <x:c r="Z57" s="18"/>
    </x:row>
    <x:row r="58">
      <x:c r="C58" s="12"/>
      <x:c r="D58" s="12"/>
      <x:c r="I58" s="18"/>
      <x:c r="J58" s="18"/>
      <x:c r="K58" s="18"/>
      <x:c r="L58" s="18"/>
      <x:c r="M58" s="18"/>
      <x:c r="N58" s="18"/>
      <x:c r="O58" s="18"/>
      <x:c r="P58" s="18"/>
      <x:c r="Q58" s="19"/>
      <x:c r="R58" s="18"/>
      <x:c r="S58" s="18"/>
      <x:c r="T58" s="18"/>
      <x:c r="U58" s="18"/>
      <x:c r="V58" s="19"/>
      <x:c r="W58" s="18"/>
      <x:c r="X58" s="18"/>
      <x:c r="Y58" s="18"/>
      <x:c r="Z58" s="18"/>
    </x:row>
    <x:row r="59">
      <x:c r="C59" s="12"/>
      <x:c r="D59" s="12"/>
      <x:c r="I59" s="18"/>
      <x:c r="J59" s="18"/>
      <x:c r="K59" s="18"/>
      <x:c r="L59" s="18"/>
      <x:c r="M59" s="18"/>
      <x:c r="N59" s="18"/>
      <x:c r="O59" s="18"/>
      <x:c r="P59" s="18"/>
      <x:c r="Q59" s="19"/>
      <x:c r="R59" s="18"/>
      <x:c r="S59" s="18"/>
      <x:c r="T59" s="18"/>
      <x:c r="U59" s="18"/>
      <x:c r="V59" s="19"/>
      <x:c r="W59" s="18"/>
      <x:c r="X59" s="18"/>
      <x:c r="Y59" s="18"/>
      <x:c r="Z59" s="18"/>
    </x:row>
    <x:row r="60">
      <x:c r="C60" s="12"/>
      <x:c r="D60" s="12"/>
      <x:c r="I60" s="18"/>
      <x:c r="J60" s="18"/>
      <x:c r="K60" s="18"/>
      <x:c r="L60" s="18"/>
      <x:c r="M60" s="18"/>
      <x:c r="N60" s="18"/>
      <x:c r="O60" s="18"/>
      <x:c r="P60" s="18"/>
      <x:c r="Q60" s="19"/>
      <x:c r="R60" s="18"/>
      <x:c r="S60" s="18"/>
      <x:c r="T60" s="18"/>
      <x:c r="U60" s="18"/>
      <x:c r="V60" s="19"/>
      <x:c r="W60" s="18"/>
      <x:c r="X60" s="18"/>
      <x:c r="Y60" s="18"/>
      <x:c r="Z60" s="18"/>
    </x:row>
    <x:row r="61">
      <x:c r="C61" s="12"/>
      <x:c r="D61" s="12"/>
      <x:c r="I61" s="18"/>
      <x:c r="J61" s="18"/>
      <x:c r="K61" s="18"/>
      <x:c r="L61" s="18"/>
      <x:c r="M61" s="18"/>
      <x:c r="N61" s="18"/>
      <x:c r="O61" s="18"/>
      <x:c r="P61" s="18"/>
      <x:c r="Q61" s="19"/>
      <x:c r="R61" s="18"/>
      <x:c r="S61" s="18"/>
      <x:c r="T61" s="18"/>
      <x:c r="U61" s="18"/>
      <x:c r="V61" s="19"/>
      <x:c r="W61" s="18"/>
      <x:c r="X61" s="18"/>
      <x:c r="Y61" s="18"/>
      <x:c r="Z61" s="18"/>
    </x:row>
    <x:row r="62">
      <x:c r="C62" s="12"/>
      <x:c r="D62" s="12"/>
      <x:c r="I62" s="18"/>
      <x:c r="J62" s="18"/>
      <x:c r="K62" s="18"/>
      <x:c r="L62" s="18"/>
      <x:c r="M62" s="18"/>
      <x:c r="N62" s="18"/>
      <x:c r="O62" s="18"/>
      <x:c r="P62" s="18"/>
      <x:c r="Q62" s="19"/>
      <x:c r="R62" s="18"/>
      <x:c r="S62" s="18"/>
      <x:c r="T62" s="18"/>
      <x:c r="U62" s="18"/>
      <x:c r="V62" s="19"/>
      <x:c r="W62" s="18"/>
      <x:c r="X62" s="18"/>
      <x:c r="Y62" s="18"/>
      <x:c r="Z62" s="18"/>
    </x:row>
    <x:row r="63">
      <x:c r="C63" s="12"/>
      <x:c r="D63" s="12"/>
      <x:c r="I63" s="18"/>
      <x:c r="J63" s="18"/>
      <x:c r="K63" s="18"/>
      <x:c r="L63" s="18"/>
      <x:c r="M63" s="18"/>
      <x:c r="N63" s="18"/>
      <x:c r="O63" s="18"/>
      <x:c r="P63" s="18"/>
      <x:c r="Q63" s="19"/>
      <x:c r="R63" s="18"/>
      <x:c r="S63" s="18"/>
      <x:c r="T63" s="18"/>
      <x:c r="U63" s="18"/>
      <x:c r="V63" s="19"/>
      <x:c r="W63" s="18"/>
      <x:c r="X63" s="18"/>
      <x:c r="Y63" s="18"/>
      <x:c r="Z63" s="18"/>
    </x:row>
    <x:row r="64">
      <x:c r="C64" s="12"/>
      <x:c r="D64" s="12"/>
      <x:c r="I64" s="18"/>
      <x:c r="J64" s="18"/>
      <x:c r="K64" s="18"/>
      <x:c r="L64" s="18"/>
      <x:c r="M64" s="18"/>
      <x:c r="N64" s="18"/>
      <x:c r="O64" s="18"/>
      <x:c r="P64" s="18"/>
      <x:c r="Q64" s="19"/>
      <x:c r="R64" s="18"/>
      <x:c r="S64" s="18"/>
      <x:c r="T64" s="18"/>
      <x:c r="U64" s="18"/>
      <x:c r="V64" s="19"/>
      <x:c r="W64" s="18"/>
      <x:c r="X64" s="18"/>
      <x:c r="Y64" s="18"/>
      <x:c r="Z64" s="18"/>
    </x:row>
    <x:row r="65">
      <x:c r="C65" s="12"/>
      <x:c r="D65" s="12"/>
      <x:c r="I65" s="18"/>
      <x:c r="J65" s="18"/>
      <x:c r="K65" s="18"/>
      <x:c r="L65" s="18"/>
      <x:c r="M65" s="18"/>
      <x:c r="N65" s="18"/>
      <x:c r="O65" s="18"/>
      <x:c r="P65" s="18"/>
      <x:c r="Q65" s="19"/>
      <x:c r="R65" s="18"/>
      <x:c r="S65" s="18"/>
      <x:c r="T65" s="18"/>
      <x:c r="U65" s="18"/>
      <x:c r="V65" s="19"/>
      <x:c r="W65" s="18"/>
      <x:c r="X65" s="18"/>
      <x:c r="Y65" s="18"/>
      <x:c r="Z65" s="18"/>
    </x:row>
    <x:row r="66">
      <x:c r="C66" s="12"/>
      <x:c r="D66" s="12"/>
      <x:c r="I66" s="18"/>
      <x:c r="J66" s="18"/>
      <x:c r="K66" s="18"/>
      <x:c r="L66" s="18"/>
      <x:c r="M66" s="18"/>
      <x:c r="N66" s="18"/>
      <x:c r="O66" s="18"/>
      <x:c r="P66" s="18"/>
      <x:c r="Q66" s="19"/>
      <x:c r="R66" s="18"/>
      <x:c r="S66" s="18"/>
      <x:c r="T66" s="18"/>
      <x:c r="U66" s="18"/>
      <x:c r="V66" s="19"/>
      <x:c r="W66" s="18"/>
      <x:c r="X66" s="18"/>
      <x:c r="Y66" s="18"/>
      <x:c r="Z66" s="18"/>
    </x:row>
    <x:row r="67">
      <x:c r="C67" s="12"/>
      <x:c r="D67" s="12"/>
      <x:c r="I67" s="18"/>
      <x:c r="J67" s="18"/>
      <x:c r="K67" s="18"/>
      <x:c r="L67" s="18"/>
      <x:c r="M67" s="18"/>
      <x:c r="N67" s="18"/>
      <x:c r="O67" s="18"/>
      <x:c r="P67" s="18"/>
      <x:c r="Q67" s="19"/>
      <x:c r="R67" s="18"/>
      <x:c r="S67" s="18"/>
      <x:c r="T67" s="18"/>
      <x:c r="U67" s="18"/>
      <x:c r="V67" s="19"/>
      <x:c r="W67" s="18"/>
      <x:c r="X67" s="18"/>
      <x:c r="Y67" s="18"/>
      <x:c r="Z67" s="18"/>
    </x:row>
    <x:row r="68">
      <x:c r="C68" s="12"/>
      <x:c r="D68" s="12"/>
      <x:c r="I68" s="18"/>
      <x:c r="J68" s="18"/>
      <x:c r="K68" s="18"/>
      <x:c r="L68" s="18"/>
      <x:c r="M68" s="18"/>
      <x:c r="N68" s="18"/>
      <x:c r="O68" s="18"/>
      <x:c r="P68" s="18"/>
      <x:c r="Q68" s="19"/>
      <x:c r="R68" s="18"/>
      <x:c r="S68" s="18"/>
      <x:c r="T68" s="18"/>
      <x:c r="U68" s="18"/>
      <x:c r="V68" s="19"/>
      <x:c r="W68" s="18"/>
      <x:c r="X68" s="18"/>
      <x:c r="Y68" s="18"/>
      <x:c r="Z68" s="18"/>
    </x:row>
    <x:row r="69">
      <x:c r="C69" s="12"/>
      <x:c r="D69" s="12"/>
      <x:c r="I69" s="18"/>
      <x:c r="J69" s="18"/>
      <x:c r="K69" s="18"/>
      <x:c r="L69" s="18"/>
      <x:c r="M69" s="18"/>
      <x:c r="N69" s="18"/>
      <x:c r="O69" s="18"/>
      <x:c r="P69" s="18"/>
      <x:c r="Q69" s="19"/>
      <x:c r="R69" s="18"/>
      <x:c r="S69" s="18"/>
      <x:c r="T69" s="18"/>
      <x:c r="U69" s="18"/>
      <x:c r="V69" s="19"/>
      <x:c r="W69" s="18"/>
      <x:c r="X69" s="18"/>
      <x:c r="Y69" s="18"/>
      <x:c r="Z69" s="18"/>
    </x:row>
    <x:row r="70">
      <x:c r="C70" s="12"/>
      <x:c r="D70" s="12"/>
      <x:c r="I70" s="18"/>
      <x:c r="J70" s="18"/>
      <x:c r="K70" s="18"/>
      <x:c r="L70" s="18"/>
      <x:c r="M70" s="18"/>
      <x:c r="N70" s="18"/>
      <x:c r="O70" s="18"/>
      <x:c r="P70" s="18"/>
      <x:c r="Q70" s="19"/>
      <x:c r="R70" s="18"/>
      <x:c r="S70" s="18"/>
      <x:c r="T70" s="18"/>
      <x:c r="U70" s="18"/>
      <x:c r="V70" s="19"/>
      <x:c r="W70" s="18"/>
      <x:c r="X70" s="18"/>
      <x:c r="Y70" s="18"/>
      <x:c r="Z70" s="18"/>
    </x:row>
    <x:row r="71">
      <x:c r="C71" s="12"/>
      <x:c r="D71" s="12"/>
      <x:c r="I71" s="18"/>
      <x:c r="J71" s="18"/>
      <x:c r="K71" s="18"/>
      <x:c r="L71" s="18"/>
      <x:c r="M71" s="18"/>
      <x:c r="N71" s="18"/>
      <x:c r="O71" s="18"/>
      <x:c r="P71" s="18"/>
      <x:c r="Q71" s="19"/>
      <x:c r="R71" s="18"/>
      <x:c r="S71" s="18"/>
      <x:c r="T71" s="18"/>
      <x:c r="U71" s="18"/>
      <x:c r="V71" s="19"/>
      <x:c r="W71" s="18"/>
      <x:c r="X71" s="18"/>
      <x:c r="Y71" s="18"/>
      <x:c r="Z71" s="18"/>
    </x:row>
    <x:row r="72">
      <x:c r="C72" s="12"/>
      <x:c r="D72" s="12"/>
      <x:c r="I72" s="18"/>
      <x:c r="J72" s="18"/>
      <x:c r="K72" s="18"/>
      <x:c r="L72" s="18"/>
      <x:c r="M72" s="18"/>
      <x:c r="N72" s="18"/>
      <x:c r="O72" s="18"/>
      <x:c r="P72" s="18"/>
      <x:c r="Q72" s="19"/>
      <x:c r="R72" s="18"/>
      <x:c r="S72" s="18"/>
      <x:c r="T72" s="18"/>
      <x:c r="U72" s="18"/>
      <x:c r="V72" s="19"/>
      <x:c r="W72" s="18"/>
      <x:c r="X72" s="18"/>
      <x:c r="Y72" s="18"/>
      <x:c r="Z72" s="18"/>
    </x:row>
    <x:row r="73">
      <x:c r="C73" s="12"/>
      <x:c r="D73" s="12"/>
      <x:c r="I73" s="18"/>
      <x:c r="J73" s="18"/>
      <x:c r="K73" s="18"/>
      <x:c r="L73" s="18"/>
      <x:c r="M73" s="18"/>
      <x:c r="N73" s="18"/>
      <x:c r="O73" s="18"/>
      <x:c r="P73" s="18"/>
      <x:c r="Q73" s="19"/>
      <x:c r="R73" s="18"/>
      <x:c r="S73" s="18"/>
      <x:c r="T73" s="18"/>
      <x:c r="U73" s="18"/>
      <x:c r="V73" s="19"/>
      <x:c r="W73" s="18"/>
      <x:c r="X73" s="18"/>
      <x:c r="Y73" s="18"/>
      <x:c r="Z73" s="18"/>
    </x:row>
    <x:row r="74">
      <x:c r="C74" s="12"/>
      <x:c r="D74" s="12"/>
      <x:c r="I74" s="18"/>
      <x:c r="J74" s="18"/>
      <x:c r="K74" s="18"/>
      <x:c r="L74" s="18"/>
      <x:c r="M74" s="18"/>
      <x:c r="N74" s="18"/>
      <x:c r="O74" s="18"/>
      <x:c r="P74" s="18"/>
      <x:c r="Q74" s="19"/>
      <x:c r="R74" s="18"/>
      <x:c r="S74" s="18"/>
      <x:c r="T74" s="18"/>
      <x:c r="U74" s="18"/>
      <x:c r="V74" s="19"/>
      <x:c r="W74" s="18"/>
      <x:c r="X74" s="18"/>
      <x:c r="Y74" s="18"/>
      <x:c r="Z74" s="18"/>
    </x:row>
    <x:row r="75">
      <x:c r="C75" s="12"/>
      <x:c r="D75" s="12"/>
      <x:c r="I75" s="18"/>
      <x:c r="J75" s="18"/>
      <x:c r="K75" s="18"/>
      <x:c r="L75" s="18"/>
      <x:c r="M75" s="18"/>
      <x:c r="N75" s="18"/>
      <x:c r="O75" s="18"/>
      <x:c r="P75" s="18"/>
      <x:c r="Q75" s="19"/>
      <x:c r="R75" s="18"/>
      <x:c r="S75" s="18"/>
      <x:c r="T75" s="18"/>
      <x:c r="U75" s="18"/>
      <x:c r="V75" s="19"/>
      <x:c r="W75" s="18"/>
      <x:c r="X75" s="18"/>
      <x:c r="Y75" s="18"/>
      <x:c r="Z75" s="18"/>
    </x:row>
    <x:row r="76">
      <x:c r="C76" s="12"/>
      <x:c r="D76" s="12"/>
      <x:c r="I76" s="18"/>
      <x:c r="J76" s="18"/>
      <x:c r="K76" s="18"/>
      <x:c r="L76" s="18"/>
      <x:c r="M76" s="18"/>
      <x:c r="N76" s="18"/>
      <x:c r="O76" s="18"/>
      <x:c r="P76" s="18"/>
      <x:c r="Q76" s="19"/>
      <x:c r="R76" s="18"/>
      <x:c r="S76" s="18"/>
      <x:c r="T76" s="18"/>
      <x:c r="U76" s="18"/>
      <x:c r="V76" s="19"/>
      <x:c r="W76" s="18"/>
      <x:c r="X76" s="18"/>
      <x:c r="Y76" s="18"/>
      <x:c r="Z76" s="18"/>
    </x:row>
    <x:row r="77">
      <x:c r="C77" s="12"/>
      <x:c r="D77" s="12"/>
      <x:c r="I77" s="18"/>
      <x:c r="J77" s="18"/>
      <x:c r="K77" s="18"/>
      <x:c r="L77" s="18"/>
      <x:c r="M77" s="18"/>
      <x:c r="N77" s="18"/>
      <x:c r="O77" s="18"/>
      <x:c r="P77" s="18"/>
      <x:c r="Q77" s="19"/>
      <x:c r="R77" s="18"/>
      <x:c r="S77" s="18"/>
      <x:c r="T77" s="18"/>
      <x:c r="U77" s="18"/>
      <x:c r="V77" s="19"/>
      <x:c r="W77" s="18"/>
      <x:c r="X77" s="18"/>
      <x:c r="Y77" s="18"/>
      <x:c r="Z77" s="18"/>
    </x:row>
    <x:row r="78">
      <x:c r="C78" s="12"/>
      <x:c r="D78" s="12"/>
      <x:c r="I78" s="18"/>
      <x:c r="J78" s="18"/>
      <x:c r="K78" s="18"/>
      <x:c r="L78" s="18"/>
      <x:c r="M78" s="18"/>
      <x:c r="N78" s="18"/>
      <x:c r="O78" s="18"/>
      <x:c r="P78" s="18"/>
      <x:c r="Q78" s="19"/>
      <x:c r="R78" s="18"/>
      <x:c r="S78" s="18"/>
      <x:c r="T78" s="18"/>
      <x:c r="U78" s="18"/>
      <x:c r="V78" s="19"/>
      <x:c r="W78" s="18"/>
      <x:c r="X78" s="18"/>
      <x:c r="Y78" s="18"/>
      <x:c r="Z78" s="18"/>
    </x:row>
    <x:row r="79">
      <x:c r="C79" s="12"/>
      <x:c r="D79" s="12"/>
      <x:c r="I79" s="18"/>
      <x:c r="J79" s="18"/>
      <x:c r="K79" s="18"/>
      <x:c r="L79" s="18"/>
      <x:c r="M79" s="18"/>
      <x:c r="N79" s="18"/>
      <x:c r="O79" s="18"/>
      <x:c r="P79" s="18"/>
      <x:c r="Q79" s="19"/>
      <x:c r="R79" s="18"/>
      <x:c r="S79" s="18"/>
      <x:c r="T79" s="18"/>
      <x:c r="U79" s="18"/>
      <x:c r="V79" s="19"/>
      <x:c r="W79" s="18"/>
      <x:c r="X79" s="18"/>
      <x:c r="Y79" s="18"/>
      <x:c r="Z79" s="18"/>
    </x:row>
    <x:row r="80">
      <x:c r="C80" s="12"/>
      <x:c r="D80" s="12"/>
      <x:c r="I80" s="18"/>
      <x:c r="J80" s="18"/>
      <x:c r="K80" s="18"/>
      <x:c r="L80" s="18"/>
      <x:c r="M80" s="18"/>
      <x:c r="N80" s="18"/>
      <x:c r="O80" s="18"/>
      <x:c r="P80" s="18"/>
      <x:c r="Q80" s="19"/>
      <x:c r="R80" s="18"/>
      <x:c r="S80" s="18"/>
      <x:c r="T80" s="18"/>
      <x:c r="U80" s="18"/>
      <x:c r="V80" s="19"/>
      <x:c r="W80" s="18"/>
      <x:c r="X80" s="18"/>
      <x:c r="Y80" s="18"/>
      <x:c r="Z80" s="18"/>
    </x:row>
    <x:row r="81">
      <x:c r="C81" s="12"/>
      <x:c r="D81" s="12"/>
      <x:c r="I81" s="18"/>
      <x:c r="J81" s="18"/>
      <x:c r="K81" s="18"/>
      <x:c r="L81" s="18"/>
      <x:c r="M81" s="18"/>
      <x:c r="N81" s="18"/>
      <x:c r="O81" s="18"/>
      <x:c r="P81" s="18"/>
      <x:c r="Q81" s="19"/>
      <x:c r="R81" s="18"/>
      <x:c r="S81" s="18"/>
      <x:c r="T81" s="18"/>
      <x:c r="U81" s="18"/>
      <x:c r="V81" s="19"/>
      <x:c r="W81" s="18"/>
      <x:c r="X81" s="18"/>
      <x:c r="Y81" s="18"/>
      <x:c r="Z81" s="18"/>
    </x:row>
    <x:row r="82">
      <x:c r="C82" s="12"/>
      <x:c r="D82" s="12"/>
      <x:c r="I82" s="18"/>
      <x:c r="J82" s="18"/>
      <x:c r="K82" s="18"/>
      <x:c r="L82" s="18"/>
      <x:c r="M82" s="18"/>
      <x:c r="N82" s="18"/>
      <x:c r="O82" s="18"/>
      <x:c r="P82" s="18"/>
      <x:c r="Q82" s="19"/>
      <x:c r="R82" s="18"/>
      <x:c r="S82" s="18"/>
      <x:c r="T82" s="18"/>
      <x:c r="U82" s="18"/>
      <x:c r="V82" s="19"/>
      <x:c r="W82" s="18"/>
      <x:c r="X82" s="18"/>
      <x:c r="Y82" s="18"/>
      <x:c r="Z82" s="18"/>
    </x:row>
    <x:row r="83">
      <x:c r="C83" s="12"/>
      <x:c r="D83" s="12"/>
      <x:c r="I83" s="18"/>
      <x:c r="J83" s="18"/>
      <x:c r="K83" s="18"/>
      <x:c r="L83" s="18"/>
      <x:c r="M83" s="18"/>
      <x:c r="N83" s="18"/>
      <x:c r="O83" s="18"/>
      <x:c r="P83" s="18"/>
      <x:c r="Q83" s="19"/>
      <x:c r="R83" s="18"/>
      <x:c r="S83" s="18"/>
      <x:c r="T83" s="18"/>
      <x:c r="U83" s="18"/>
      <x:c r="V83" s="19"/>
      <x:c r="W83" s="18"/>
      <x:c r="X83" s="18"/>
      <x:c r="Y83" s="18"/>
      <x:c r="Z83" s="18"/>
    </x:row>
    <x:row r="84">
      <x:c r="C84" s="12"/>
      <x:c r="D84" s="12"/>
      <x:c r="I84" s="18"/>
      <x:c r="J84" s="18"/>
      <x:c r="K84" s="18"/>
      <x:c r="L84" s="18"/>
      <x:c r="M84" s="18"/>
      <x:c r="N84" s="18"/>
      <x:c r="O84" s="18"/>
      <x:c r="P84" s="18"/>
      <x:c r="Q84" s="19"/>
      <x:c r="R84" s="18"/>
      <x:c r="S84" s="18"/>
      <x:c r="T84" s="18"/>
      <x:c r="U84" s="18"/>
      <x:c r="V84" s="19"/>
      <x:c r="W84" s="18"/>
      <x:c r="X84" s="18"/>
      <x:c r="Y84" s="18"/>
      <x:c r="Z84" s="18"/>
    </x:row>
    <x:row r="85">
      <x:c r="C85" s="12"/>
      <x:c r="D85" s="12"/>
      <x:c r="I85" s="18"/>
      <x:c r="J85" s="18"/>
      <x:c r="K85" s="18"/>
      <x:c r="L85" s="18"/>
      <x:c r="M85" s="18"/>
      <x:c r="N85" s="18"/>
      <x:c r="O85" s="18"/>
      <x:c r="P85" s="18"/>
      <x:c r="Q85" s="19"/>
      <x:c r="R85" s="18"/>
      <x:c r="S85" s="18"/>
      <x:c r="T85" s="18"/>
      <x:c r="U85" s="18"/>
      <x:c r="V85" s="19"/>
      <x:c r="W85" s="18"/>
      <x:c r="X85" s="18"/>
      <x:c r="Y85" s="18"/>
      <x:c r="Z85" s="18"/>
    </x:row>
    <x:row r="86">
      <x:c r="C86" s="12"/>
      <x:c r="D86" s="12"/>
      <x:c r="I86" s="18"/>
      <x:c r="J86" s="18"/>
      <x:c r="K86" s="18"/>
      <x:c r="L86" s="18"/>
      <x:c r="M86" s="18"/>
      <x:c r="N86" s="18"/>
      <x:c r="O86" s="18"/>
      <x:c r="P86" s="18"/>
      <x:c r="Q86" s="19"/>
      <x:c r="R86" s="18"/>
      <x:c r="S86" s="18"/>
      <x:c r="T86" s="18"/>
      <x:c r="U86" s="18"/>
      <x:c r="V86" s="19"/>
      <x:c r="W86" s="18"/>
      <x:c r="X86" s="18"/>
      <x:c r="Y86" s="18"/>
      <x:c r="Z86" s="18"/>
    </x:row>
    <x:row r="87">
      <x:c r="C87" s="12"/>
      <x:c r="D87" s="12"/>
      <x:c r="I87" s="18"/>
      <x:c r="J87" s="18"/>
      <x:c r="K87" s="18"/>
      <x:c r="L87" s="18"/>
      <x:c r="M87" s="18"/>
      <x:c r="N87" s="18"/>
      <x:c r="O87" s="18"/>
      <x:c r="P87" s="18"/>
      <x:c r="Q87" s="19"/>
      <x:c r="R87" s="18"/>
      <x:c r="S87" s="18"/>
      <x:c r="T87" s="18"/>
      <x:c r="U87" s="18"/>
      <x:c r="V87" s="19"/>
      <x:c r="W87" s="18"/>
      <x:c r="X87" s="18"/>
      <x:c r="Y87" s="18"/>
      <x:c r="Z87" s="18"/>
    </x:row>
    <x:row r="88">
      <x:c r="C88" s="12"/>
      <x:c r="D88" s="12"/>
      <x:c r="I88" s="18"/>
      <x:c r="J88" s="18"/>
      <x:c r="K88" s="18"/>
      <x:c r="L88" s="18"/>
      <x:c r="M88" s="18"/>
      <x:c r="N88" s="18"/>
      <x:c r="O88" s="18"/>
      <x:c r="P88" s="18"/>
      <x:c r="Q88" s="19"/>
      <x:c r="R88" s="18"/>
      <x:c r="S88" s="18"/>
      <x:c r="T88" s="18"/>
      <x:c r="U88" s="18"/>
      <x:c r="V88" s="19"/>
      <x:c r="W88" s="18"/>
      <x:c r="X88" s="18"/>
      <x:c r="Y88" s="18"/>
      <x:c r="Z88" s="18"/>
    </x:row>
    <x:row r="89">
      <x:c r="C89" s="12"/>
      <x:c r="D89" s="12"/>
      <x:c r="I89" s="18"/>
      <x:c r="J89" s="18"/>
      <x:c r="K89" s="18"/>
      <x:c r="L89" s="18"/>
      <x:c r="M89" s="18"/>
      <x:c r="N89" s="18"/>
      <x:c r="O89" s="18"/>
      <x:c r="P89" s="18"/>
      <x:c r="Q89" s="19"/>
      <x:c r="R89" s="18"/>
      <x:c r="S89" s="18"/>
      <x:c r="T89" s="18"/>
      <x:c r="U89" s="18"/>
      <x:c r="V89" s="19"/>
      <x:c r="W89" s="18"/>
      <x:c r="X89" s="18"/>
      <x:c r="Y89" s="18"/>
      <x:c r="Z89" s="18"/>
    </x:row>
    <x:row r="90">
      <x:c r="C90" s="12"/>
      <x:c r="D90" s="12"/>
      <x:c r="I90" s="18"/>
      <x:c r="J90" s="18"/>
      <x:c r="K90" s="18"/>
      <x:c r="L90" s="18"/>
      <x:c r="M90" s="18"/>
      <x:c r="N90" s="18"/>
      <x:c r="O90" s="18"/>
      <x:c r="P90" s="18"/>
      <x:c r="Q90" s="19"/>
      <x:c r="R90" s="18"/>
      <x:c r="S90" s="18"/>
      <x:c r="T90" s="18"/>
      <x:c r="U90" s="18"/>
      <x:c r="V90" s="19"/>
      <x:c r="W90" s="18"/>
      <x:c r="X90" s="18"/>
      <x:c r="Y90" s="18"/>
      <x:c r="Z90" s="18"/>
    </x:row>
    <x:row r="91">
      <x:c r="C91" s="12"/>
      <x:c r="D91" s="12"/>
      <x:c r="I91" s="18"/>
      <x:c r="J91" s="18"/>
      <x:c r="K91" s="18"/>
      <x:c r="L91" s="18"/>
      <x:c r="M91" s="18"/>
      <x:c r="N91" s="18"/>
      <x:c r="O91" s="18"/>
      <x:c r="P91" s="18"/>
      <x:c r="Q91" s="19"/>
      <x:c r="R91" s="18"/>
      <x:c r="S91" s="18"/>
      <x:c r="T91" s="18"/>
      <x:c r="U91" s="18"/>
      <x:c r="V91" s="19"/>
      <x:c r="W91" s="18"/>
      <x:c r="X91" s="18"/>
      <x:c r="Y91" s="18"/>
      <x:c r="Z91" s="18"/>
    </x:row>
    <x:row r="92">
      <x:c r="C92" s="12"/>
      <x:c r="D92" s="12"/>
      <x:c r="I92" s="18"/>
      <x:c r="J92" s="18"/>
      <x:c r="K92" s="18"/>
      <x:c r="L92" s="18"/>
      <x:c r="M92" s="18"/>
      <x:c r="N92" s="18"/>
      <x:c r="O92" s="18"/>
      <x:c r="P92" s="18"/>
      <x:c r="Q92" s="19"/>
      <x:c r="R92" s="18"/>
      <x:c r="S92" s="18"/>
      <x:c r="T92" s="18"/>
      <x:c r="U92" s="18"/>
      <x:c r="V92" s="19"/>
      <x:c r="W92" s="18"/>
      <x:c r="X92" s="18"/>
      <x:c r="Y92" s="18"/>
      <x:c r="Z92" s="18"/>
    </x:row>
    <x:row r="93">
      <x:c r="C93" s="12"/>
      <x:c r="D93" s="12"/>
      <x:c r="I93" s="18"/>
      <x:c r="J93" s="18"/>
      <x:c r="K93" s="18"/>
      <x:c r="L93" s="18"/>
      <x:c r="M93" s="18"/>
      <x:c r="N93" s="18"/>
      <x:c r="O93" s="18"/>
      <x:c r="P93" s="18"/>
      <x:c r="Q93" s="19"/>
      <x:c r="R93" s="18"/>
      <x:c r="S93" s="18"/>
      <x:c r="T93" s="18"/>
      <x:c r="U93" s="18"/>
      <x:c r="V93" s="19"/>
      <x:c r="W93" s="18"/>
      <x:c r="X93" s="18"/>
      <x:c r="Y93" s="18"/>
      <x:c r="Z93" s="18"/>
    </x:row>
    <x:row r="94">
      <x:c r="C94" s="12"/>
      <x:c r="D94" s="12"/>
      <x:c r="I94" s="18"/>
      <x:c r="J94" s="18"/>
      <x:c r="K94" s="18"/>
      <x:c r="L94" s="18"/>
      <x:c r="M94" s="18"/>
      <x:c r="N94" s="18"/>
      <x:c r="O94" s="18"/>
      <x:c r="P94" s="18"/>
      <x:c r="Q94" s="19"/>
      <x:c r="R94" s="18"/>
      <x:c r="S94" s="18"/>
      <x:c r="T94" s="18"/>
      <x:c r="U94" s="18"/>
      <x:c r="V94" s="19"/>
      <x:c r="W94" s="18"/>
      <x:c r="X94" s="18"/>
      <x:c r="Y94" s="18"/>
      <x:c r="Z94" s="18"/>
    </x:row>
    <x:row r="95">
      <x:c r="C95" s="12"/>
      <x:c r="D95" s="12"/>
      <x:c r="I95" s="18"/>
      <x:c r="J95" s="18"/>
      <x:c r="K95" s="18"/>
      <x:c r="L95" s="18"/>
      <x:c r="M95" s="18"/>
      <x:c r="N95" s="18"/>
      <x:c r="O95" s="18"/>
      <x:c r="P95" s="18"/>
      <x:c r="Q95" s="19"/>
      <x:c r="R95" s="18"/>
      <x:c r="S95" s="18"/>
      <x:c r="T95" s="18"/>
      <x:c r="U95" s="18"/>
      <x:c r="V95" s="19"/>
      <x:c r="W95" s="18"/>
      <x:c r="X95" s="18"/>
      <x:c r="Y95" s="18"/>
      <x:c r="Z95" s="18"/>
    </x:row>
    <x:row r="96">
      <x:c r="C96" s="12"/>
      <x:c r="D96" s="12"/>
      <x:c r="I96" s="18"/>
      <x:c r="J96" s="18"/>
      <x:c r="K96" s="18"/>
      <x:c r="L96" s="18"/>
      <x:c r="M96" s="18"/>
      <x:c r="N96" s="18"/>
      <x:c r="O96" s="18"/>
      <x:c r="P96" s="18"/>
      <x:c r="Q96" s="19"/>
      <x:c r="R96" s="18"/>
      <x:c r="S96" s="18"/>
      <x:c r="T96" s="18"/>
      <x:c r="U96" s="18"/>
      <x:c r="V96" s="19"/>
      <x:c r="W96" s="18"/>
      <x:c r="X96" s="18"/>
      <x:c r="Y96" s="18"/>
      <x:c r="Z96" s="18"/>
    </x:row>
    <x:row r="97">
      <x:c r="C97" s="12"/>
      <x:c r="D97" s="12"/>
      <x:c r="I97" s="18"/>
      <x:c r="J97" s="18"/>
      <x:c r="K97" s="18"/>
      <x:c r="L97" s="18"/>
      <x:c r="M97" s="18"/>
      <x:c r="N97" s="18"/>
      <x:c r="O97" s="18"/>
      <x:c r="P97" s="18"/>
      <x:c r="Q97" s="19"/>
      <x:c r="R97" s="18"/>
      <x:c r="S97" s="18"/>
      <x:c r="T97" s="18"/>
      <x:c r="U97" s="18"/>
      <x:c r="V97" s="19"/>
      <x:c r="W97" s="18"/>
      <x:c r="X97" s="18"/>
      <x:c r="Y97" s="18"/>
      <x:c r="Z97" s="18"/>
    </x:row>
    <x:row r="98">
      <x:c r="C98" s="12"/>
      <x:c r="D98" s="12"/>
      <x:c r="I98" s="18"/>
      <x:c r="J98" s="18"/>
      <x:c r="K98" s="18"/>
      <x:c r="L98" s="18"/>
      <x:c r="M98" s="18"/>
      <x:c r="N98" s="18"/>
      <x:c r="O98" s="18"/>
      <x:c r="P98" s="18"/>
      <x:c r="Q98" s="19"/>
      <x:c r="R98" s="18"/>
      <x:c r="S98" s="18"/>
      <x:c r="T98" s="18"/>
      <x:c r="U98" s="18"/>
      <x:c r="V98" s="19"/>
      <x:c r="W98" s="18"/>
      <x:c r="X98" s="18"/>
      <x:c r="Y98" s="18"/>
      <x:c r="Z98" s="18"/>
    </x:row>
    <x:row r="99">
      <x:c r="C99" s="12"/>
      <x:c r="D99" s="12"/>
      <x:c r="I99" s="18"/>
      <x:c r="J99" s="18"/>
      <x:c r="K99" s="18"/>
      <x:c r="L99" s="18"/>
      <x:c r="M99" s="18"/>
      <x:c r="N99" s="18"/>
      <x:c r="O99" s="18"/>
      <x:c r="P99" s="18"/>
      <x:c r="Q99" s="19"/>
      <x:c r="R99" s="18"/>
      <x:c r="S99" s="18"/>
      <x:c r="T99" s="18"/>
      <x:c r="U99" s="18"/>
      <x:c r="V99" s="19"/>
      <x:c r="W99" s="18"/>
      <x:c r="X99" s="18"/>
      <x:c r="Y99" s="18"/>
      <x:c r="Z99" s="18"/>
    </x:row>
    <x:row r="100">
      <x:c r="C100" s="12"/>
      <x:c r="D100" s="12"/>
      <x:c r="I100" s="18"/>
      <x:c r="J100" s="18"/>
      <x:c r="K100" s="18"/>
      <x:c r="L100" s="18"/>
      <x:c r="M100" s="18"/>
      <x:c r="N100" s="18"/>
      <x:c r="O100" s="18"/>
      <x:c r="P100" s="18"/>
      <x:c r="Q100" s="19"/>
      <x:c r="R100" s="18"/>
      <x:c r="S100" s="18"/>
      <x:c r="T100" s="18"/>
      <x:c r="U100" s="18"/>
      <x:c r="V100" s="19"/>
      <x:c r="W100" s="18"/>
      <x:c r="X100" s="18"/>
      <x:c r="Y100" s="18"/>
      <x:c r="Z100" s="18"/>
    </x:row>
    <x:row r="101">
      <x:c r="C101" s="12"/>
      <x:c r="D101" s="12"/>
      <x:c r="I101" s="18"/>
      <x:c r="J101" s="18"/>
      <x:c r="K101" s="18"/>
      <x:c r="L101" s="18"/>
      <x:c r="M101" s="18"/>
      <x:c r="N101" s="18"/>
      <x:c r="O101" s="18"/>
      <x:c r="P101" s="18"/>
      <x:c r="Q101" s="19"/>
      <x:c r="R101" s="18"/>
      <x:c r="S101" s="18"/>
      <x:c r="T101" s="18"/>
      <x:c r="U101" s="18"/>
      <x:c r="V101" s="19"/>
      <x:c r="W101" s="18"/>
      <x:c r="X101" s="18"/>
      <x:c r="Y101" s="18"/>
      <x:c r="Z101" s="18"/>
    </x:row>
    <x:row r="102">
      <x:c r="C102" s="12"/>
      <x:c r="D102" s="12"/>
      <x:c r="I102" s="18"/>
      <x:c r="J102" s="18"/>
      <x:c r="K102" s="18"/>
      <x:c r="L102" s="18"/>
      <x:c r="M102" s="18"/>
      <x:c r="N102" s="18"/>
      <x:c r="O102" s="18"/>
      <x:c r="P102" s="18"/>
      <x:c r="Q102" s="19"/>
      <x:c r="R102" s="18"/>
      <x:c r="S102" s="18"/>
      <x:c r="T102" s="18"/>
      <x:c r="U102" s="18"/>
      <x:c r="V102" s="19"/>
      <x:c r="W102" s="18"/>
      <x:c r="X102" s="18"/>
      <x:c r="Y102" s="18"/>
      <x:c r="Z102" s="18"/>
    </x:row>
    <x:row r="103">
      <x:c r="C103" s="12"/>
      <x:c r="D103" s="12"/>
      <x:c r="I103" s="18"/>
      <x:c r="J103" s="18"/>
      <x:c r="K103" s="18"/>
      <x:c r="L103" s="18"/>
      <x:c r="M103" s="18"/>
      <x:c r="N103" s="18"/>
      <x:c r="O103" s="18"/>
      <x:c r="P103" s="18"/>
      <x:c r="Q103" s="19"/>
      <x:c r="R103" s="18"/>
      <x:c r="S103" s="18"/>
      <x:c r="T103" s="18"/>
      <x:c r="U103" s="18"/>
      <x:c r="V103" s="19"/>
      <x:c r="W103" s="18"/>
      <x:c r="X103" s="18"/>
      <x:c r="Y103" s="18"/>
      <x:c r="Z103" s="18"/>
    </x:row>
    <x:row r="104">
      <x:c r="C104" s="12"/>
      <x:c r="D104" s="12"/>
      <x:c r="I104" s="18"/>
      <x:c r="J104" s="18"/>
      <x:c r="K104" s="18"/>
      <x:c r="L104" s="18"/>
      <x:c r="M104" s="18"/>
      <x:c r="N104" s="18"/>
      <x:c r="O104" s="18"/>
      <x:c r="P104" s="18"/>
      <x:c r="Q104" s="19"/>
      <x:c r="R104" s="18"/>
      <x:c r="S104" s="18"/>
      <x:c r="T104" s="18"/>
      <x:c r="U104" s="18"/>
      <x:c r="V104" s="19"/>
      <x:c r="W104" s="18"/>
      <x:c r="X104" s="18"/>
      <x:c r="Y104" s="18"/>
      <x:c r="Z104" s="18"/>
    </x:row>
    <x:row r="105">
      <x:c r="C105" s="12"/>
      <x:c r="D105" s="12"/>
      <x:c r="I105" s="18"/>
      <x:c r="J105" s="18"/>
      <x:c r="K105" s="18"/>
      <x:c r="L105" s="18"/>
      <x:c r="M105" s="18"/>
      <x:c r="N105" s="18"/>
      <x:c r="O105" s="18"/>
      <x:c r="P105" s="18"/>
      <x:c r="Q105" s="19"/>
      <x:c r="R105" s="18"/>
      <x:c r="S105" s="18"/>
      <x:c r="T105" s="18"/>
      <x:c r="U105" s="18"/>
      <x:c r="V105" s="19"/>
      <x:c r="W105" s="18"/>
      <x:c r="X105" s="18"/>
      <x:c r="Y105" s="18"/>
      <x:c r="Z105" s="18"/>
    </x:row>
    <x:row r="106">
      <x:c r="C106" s="12"/>
      <x:c r="D106" s="12"/>
      <x:c r="I106" s="18"/>
      <x:c r="J106" s="18"/>
      <x:c r="K106" s="18"/>
      <x:c r="L106" s="18"/>
      <x:c r="M106" s="18"/>
      <x:c r="N106" s="18"/>
      <x:c r="O106" s="18"/>
      <x:c r="P106" s="18"/>
      <x:c r="Q106" s="19"/>
      <x:c r="R106" s="18"/>
      <x:c r="S106" s="18"/>
      <x:c r="T106" s="18"/>
      <x:c r="U106" s="18"/>
      <x:c r="V106" s="19"/>
      <x:c r="W106" s="18"/>
      <x:c r="X106" s="18"/>
      <x:c r="Y106" s="18"/>
      <x:c r="Z106" s="18"/>
    </x:row>
    <x:row r="107">
      <x:c r="C107" s="12"/>
      <x:c r="D107" s="12"/>
      <x:c r="I107" s="18"/>
      <x:c r="J107" s="18"/>
      <x:c r="K107" s="18"/>
      <x:c r="L107" s="18"/>
      <x:c r="M107" s="18"/>
      <x:c r="N107" s="18"/>
      <x:c r="O107" s="18"/>
      <x:c r="P107" s="18"/>
      <x:c r="Q107" s="19"/>
      <x:c r="R107" s="18"/>
      <x:c r="S107" s="18"/>
      <x:c r="T107" s="18"/>
      <x:c r="U107" s="18"/>
      <x:c r="V107" s="19"/>
      <x:c r="W107" s="18"/>
      <x:c r="X107" s="18"/>
      <x:c r="Y107" s="18"/>
      <x:c r="Z107" s="18"/>
    </x:row>
    <x:row r="108">
      <x:c r="C108" s="12"/>
      <x:c r="D108" s="12"/>
      <x:c r="I108" s="18"/>
      <x:c r="J108" s="18"/>
      <x:c r="K108" s="18"/>
      <x:c r="L108" s="18"/>
      <x:c r="M108" s="18"/>
      <x:c r="N108" s="18"/>
      <x:c r="O108" s="18"/>
      <x:c r="P108" s="18"/>
      <x:c r="Q108" s="19"/>
      <x:c r="R108" s="18"/>
      <x:c r="S108" s="18"/>
      <x:c r="T108" s="18"/>
      <x:c r="U108" s="18"/>
      <x:c r="V108" s="19"/>
      <x:c r="W108" s="18"/>
      <x:c r="X108" s="18"/>
      <x:c r="Y108" s="18"/>
      <x:c r="Z108" s="18"/>
    </x:row>
    <x:row r="109">
      <x:c r="C109" s="12"/>
      <x:c r="D109" s="12"/>
      <x:c r="I109" s="18"/>
      <x:c r="J109" s="18"/>
      <x:c r="K109" s="18"/>
      <x:c r="L109" s="18"/>
      <x:c r="M109" s="18"/>
      <x:c r="N109" s="18"/>
      <x:c r="O109" s="18"/>
      <x:c r="P109" s="18"/>
      <x:c r="Q109" s="19"/>
      <x:c r="R109" s="18"/>
      <x:c r="S109" s="18"/>
      <x:c r="T109" s="18"/>
      <x:c r="U109" s="18"/>
      <x:c r="V109" s="19"/>
      <x:c r="W109" s="18"/>
      <x:c r="X109" s="18"/>
      <x:c r="Y109" s="18"/>
      <x:c r="Z109" s="18"/>
    </x:row>
    <x:row r="110">
      <x:c r="C110" s="12"/>
      <x:c r="D110" s="12"/>
      <x:c r="I110" s="18"/>
      <x:c r="J110" s="18"/>
      <x:c r="K110" s="18"/>
      <x:c r="L110" s="18"/>
      <x:c r="M110" s="18"/>
      <x:c r="N110" s="18"/>
      <x:c r="O110" s="18"/>
      <x:c r="P110" s="18"/>
      <x:c r="Q110" s="19"/>
      <x:c r="R110" s="18"/>
      <x:c r="S110" s="18"/>
      <x:c r="T110" s="18"/>
      <x:c r="U110" s="18"/>
      <x:c r="V110" s="19"/>
      <x:c r="W110" s="18"/>
      <x:c r="X110" s="18"/>
      <x:c r="Y110" s="18"/>
      <x:c r="Z110" s="18"/>
    </x:row>
    <x:row r="111">
      <x:c r="C111" s="12"/>
      <x:c r="D111" s="12"/>
      <x:c r="I111" s="18"/>
      <x:c r="J111" s="18"/>
      <x:c r="K111" s="18"/>
      <x:c r="L111" s="18"/>
      <x:c r="M111" s="18"/>
      <x:c r="N111" s="18"/>
      <x:c r="O111" s="18"/>
      <x:c r="P111" s="18"/>
      <x:c r="Q111" s="19"/>
      <x:c r="R111" s="18"/>
      <x:c r="S111" s="18"/>
      <x:c r="T111" s="18"/>
      <x:c r="U111" s="18"/>
      <x:c r="V111" s="19"/>
      <x:c r="W111" s="18"/>
      <x:c r="X111" s="18"/>
      <x:c r="Y111" s="18"/>
      <x:c r="Z111" s="18"/>
    </x:row>
    <x:row r="112">
      <x:c r="C112" s="12"/>
      <x:c r="D112" s="12"/>
      <x:c r="I112" s="18"/>
      <x:c r="J112" s="18"/>
      <x:c r="K112" s="18"/>
      <x:c r="L112" s="18"/>
      <x:c r="M112" s="18"/>
      <x:c r="N112" s="18"/>
      <x:c r="O112" s="18"/>
      <x:c r="P112" s="18"/>
      <x:c r="Q112" s="19"/>
      <x:c r="R112" s="18"/>
      <x:c r="S112" s="18"/>
      <x:c r="T112" s="18"/>
      <x:c r="U112" s="18"/>
      <x:c r="V112" s="19"/>
      <x:c r="W112" s="18"/>
      <x:c r="X112" s="18"/>
      <x:c r="Y112" s="18"/>
      <x:c r="Z112" s="18"/>
    </x:row>
    <x:row r="113">
      <x:c r="C113" s="12"/>
      <x:c r="D113" s="12"/>
      <x:c r="I113" s="18"/>
      <x:c r="J113" s="18"/>
      <x:c r="K113" s="18"/>
      <x:c r="L113" s="18"/>
      <x:c r="M113" s="18"/>
      <x:c r="N113" s="18"/>
      <x:c r="O113" s="18"/>
      <x:c r="P113" s="18"/>
      <x:c r="Q113" s="19"/>
      <x:c r="R113" s="18"/>
      <x:c r="S113" s="18"/>
      <x:c r="T113" s="18"/>
      <x:c r="U113" s="18"/>
      <x:c r="V113" s="19"/>
      <x:c r="W113" s="18"/>
      <x:c r="X113" s="18"/>
      <x:c r="Y113" s="18"/>
      <x:c r="Z113" s="18"/>
    </x:row>
    <x:row r="114">
      <x:c r="C114" s="12"/>
      <x:c r="D114" s="12"/>
      <x:c r="I114" s="18"/>
      <x:c r="J114" s="18"/>
      <x:c r="K114" s="18"/>
      <x:c r="L114" s="18"/>
      <x:c r="M114" s="18"/>
      <x:c r="N114" s="18"/>
      <x:c r="O114" s="18"/>
      <x:c r="P114" s="18"/>
      <x:c r="Q114" s="19"/>
      <x:c r="R114" s="18"/>
      <x:c r="S114" s="18"/>
      <x:c r="T114" s="18"/>
      <x:c r="U114" s="18"/>
      <x:c r="V114" s="19"/>
      <x:c r="W114" s="18"/>
      <x:c r="X114" s="18"/>
      <x:c r="Y114" s="18"/>
      <x:c r="Z114" s="18"/>
    </x:row>
    <x:row r="115">
      <x:c r="C115" s="12"/>
      <x:c r="D115" s="12"/>
      <x:c r="I115" s="18"/>
      <x:c r="J115" s="18"/>
      <x:c r="K115" s="18"/>
      <x:c r="L115" s="18"/>
      <x:c r="M115" s="18"/>
      <x:c r="N115" s="18"/>
      <x:c r="O115" s="18"/>
      <x:c r="P115" s="18"/>
      <x:c r="Q115" s="19"/>
      <x:c r="R115" s="18"/>
      <x:c r="S115" s="18"/>
      <x:c r="T115" s="18"/>
      <x:c r="U115" s="18"/>
      <x:c r="V115" s="19"/>
      <x:c r="W115" s="18"/>
      <x:c r="X115" s="18"/>
      <x:c r="Y115" s="18"/>
      <x:c r="Z115" s="18"/>
    </x:row>
    <x:row r="116">
      <x:c r="C116" s="12"/>
      <x:c r="D116" s="12"/>
      <x:c r="I116" s="18"/>
      <x:c r="J116" s="18"/>
      <x:c r="K116" s="18"/>
      <x:c r="L116" s="18"/>
      <x:c r="M116" s="18"/>
      <x:c r="N116" s="18"/>
      <x:c r="O116" s="18"/>
      <x:c r="P116" s="18"/>
      <x:c r="Q116" s="19"/>
      <x:c r="R116" s="18"/>
      <x:c r="S116" s="18"/>
      <x:c r="T116" s="18"/>
      <x:c r="U116" s="18"/>
      <x:c r="V116" s="19"/>
      <x:c r="W116" s="18"/>
      <x:c r="X116" s="18"/>
      <x:c r="Y116" s="18"/>
      <x:c r="Z116" s="18"/>
    </x:row>
    <x:row r="117">
      <x:c r="C117" s="12"/>
      <x:c r="D117" s="12"/>
      <x:c r="I117" s="18"/>
      <x:c r="J117" s="18"/>
      <x:c r="K117" s="18"/>
      <x:c r="L117" s="18"/>
      <x:c r="M117" s="18"/>
      <x:c r="N117" s="18"/>
      <x:c r="O117" s="18"/>
      <x:c r="P117" s="18"/>
      <x:c r="Q117" s="19"/>
      <x:c r="R117" s="18"/>
      <x:c r="S117" s="18"/>
      <x:c r="T117" s="18"/>
      <x:c r="U117" s="18"/>
      <x:c r="V117" s="19"/>
      <x:c r="W117" s="18"/>
      <x:c r="X117" s="18"/>
      <x:c r="Y117" s="18"/>
      <x:c r="Z117" s="18"/>
    </x:row>
    <x:row r="118">
      <x:c r="C118" s="12"/>
      <x:c r="D118" s="12"/>
      <x:c r="I118" s="18"/>
      <x:c r="J118" s="18"/>
      <x:c r="K118" s="18"/>
      <x:c r="L118" s="18"/>
      <x:c r="M118" s="18"/>
      <x:c r="N118" s="18"/>
      <x:c r="O118" s="18"/>
      <x:c r="P118" s="18"/>
      <x:c r="Q118" s="19"/>
      <x:c r="R118" s="18"/>
      <x:c r="S118" s="18"/>
      <x:c r="T118" s="18"/>
      <x:c r="U118" s="18"/>
      <x:c r="V118" s="19"/>
      <x:c r="W118" s="18"/>
      <x:c r="X118" s="18"/>
      <x:c r="Y118" s="18"/>
      <x:c r="Z118" s="18"/>
    </x:row>
    <x:row r="119">
      <x:c r="C119" s="12"/>
      <x:c r="D119" s="12"/>
      <x:c r="I119" s="18"/>
      <x:c r="J119" s="18"/>
      <x:c r="K119" s="18"/>
      <x:c r="L119" s="18"/>
      <x:c r="M119" s="18"/>
      <x:c r="N119" s="18"/>
      <x:c r="O119" s="18"/>
      <x:c r="P119" s="18"/>
      <x:c r="Q119" s="19"/>
      <x:c r="R119" s="18"/>
      <x:c r="S119" s="18"/>
      <x:c r="T119" s="18"/>
      <x:c r="U119" s="18"/>
      <x:c r="V119" s="19"/>
      <x:c r="W119" s="18"/>
      <x:c r="X119" s="18"/>
      <x:c r="Y119" s="18"/>
      <x:c r="Z119" s="18"/>
    </x:row>
    <x:row r="120">
      <x:c r="C120" s="12"/>
      <x:c r="D120" s="12"/>
      <x:c r="I120" s="18"/>
      <x:c r="J120" s="18"/>
      <x:c r="K120" s="18"/>
      <x:c r="L120" s="18"/>
      <x:c r="M120" s="18"/>
      <x:c r="N120" s="18"/>
      <x:c r="O120" s="18"/>
      <x:c r="P120" s="18"/>
      <x:c r="Q120" s="19"/>
      <x:c r="R120" s="18"/>
      <x:c r="S120" s="18"/>
      <x:c r="T120" s="18"/>
      <x:c r="U120" s="18"/>
      <x:c r="V120" s="19"/>
      <x:c r="W120" s="18"/>
      <x:c r="X120" s="18"/>
      <x:c r="Y120" s="18"/>
      <x:c r="Z120" s="18"/>
    </x:row>
    <x:row r="121">
      <x:c r="C121" s="12"/>
      <x:c r="D121" s="12"/>
      <x:c r="I121" s="18"/>
      <x:c r="J121" s="18"/>
      <x:c r="K121" s="18"/>
      <x:c r="L121" s="18"/>
      <x:c r="M121" s="18"/>
      <x:c r="N121" s="18"/>
      <x:c r="O121" s="18"/>
      <x:c r="P121" s="18"/>
      <x:c r="Q121" s="19"/>
      <x:c r="R121" s="18"/>
      <x:c r="S121" s="18"/>
      <x:c r="T121" s="18"/>
      <x:c r="U121" s="18"/>
      <x:c r="V121" s="19"/>
      <x:c r="W121" s="18"/>
      <x:c r="X121" s="18"/>
      <x:c r="Y121" s="18"/>
      <x:c r="Z121" s="18"/>
    </x:row>
    <x:row r="122">
      <x:c r="C122" s="12"/>
      <x:c r="D122" s="12"/>
      <x:c r="I122" s="18"/>
      <x:c r="J122" s="18"/>
      <x:c r="K122" s="18"/>
      <x:c r="L122" s="18"/>
      <x:c r="M122" s="18"/>
      <x:c r="N122" s="18"/>
      <x:c r="O122" s="18"/>
      <x:c r="P122" s="18"/>
      <x:c r="Q122" s="19"/>
      <x:c r="R122" s="18"/>
      <x:c r="S122" s="18"/>
      <x:c r="T122" s="18"/>
      <x:c r="U122" s="18"/>
      <x:c r="V122" s="19"/>
      <x:c r="W122" s="18"/>
      <x:c r="X122" s="18"/>
      <x:c r="Y122" s="18"/>
      <x:c r="Z122" s="18"/>
    </x:row>
    <x:row r="123">
      <x:c r="C123" s="12"/>
      <x:c r="D123" s="12"/>
      <x:c r="I123" s="18"/>
      <x:c r="J123" s="18"/>
      <x:c r="K123" s="18"/>
      <x:c r="L123" s="18"/>
      <x:c r="M123" s="18"/>
      <x:c r="N123" s="18"/>
      <x:c r="O123" s="18"/>
      <x:c r="P123" s="18"/>
      <x:c r="Q123" s="19"/>
      <x:c r="R123" s="18"/>
      <x:c r="S123" s="18"/>
      <x:c r="T123" s="18"/>
      <x:c r="U123" s="18"/>
      <x:c r="V123" s="19"/>
      <x:c r="W123" s="18"/>
      <x:c r="X123" s="18"/>
      <x:c r="Y123" s="18"/>
      <x:c r="Z123" s="18"/>
    </x:row>
    <x:row r="124">
      <x:c r="C124" s="12"/>
      <x:c r="D124" s="12"/>
      <x:c r="I124" s="18"/>
      <x:c r="J124" s="18"/>
      <x:c r="K124" s="18"/>
      <x:c r="L124" s="18"/>
      <x:c r="M124" s="18"/>
      <x:c r="N124" s="18"/>
      <x:c r="O124" s="18"/>
      <x:c r="P124" s="18"/>
      <x:c r="Q124" s="19"/>
      <x:c r="R124" s="18"/>
      <x:c r="S124" s="18"/>
      <x:c r="T124" s="18"/>
      <x:c r="U124" s="18"/>
      <x:c r="V124" s="19"/>
      <x:c r="W124" s="18"/>
      <x:c r="X124" s="18"/>
      <x:c r="Y124" s="18"/>
      <x:c r="Z124" s="18"/>
    </x:row>
    <x:row r="125">
      <x:c r="C125" s="12"/>
      <x:c r="D125" s="12"/>
      <x:c r="I125" s="18"/>
      <x:c r="J125" s="18"/>
      <x:c r="K125" s="18"/>
      <x:c r="L125" s="18"/>
      <x:c r="M125" s="18"/>
      <x:c r="N125" s="18"/>
      <x:c r="O125" s="18"/>
      <x:c r="P125" s="18"/>
      <x:c r="Q125" s="19"/>
      <x:c r="R125" s="18"/>
      <x:c r="S125" s="18"/>
      <x:c r="T125" s="18"/>
      <x:c r="U125" s="18"/>
      <x:c r="V125" s="19"/>
      <x:c r="W125" s="18"/>
      <x:c r="X125" s="18"/>
      <x:c r="Y125" s="18"/>
      <x:c r="Z125" s="18"/>
    </x:row>
    <x:row r="126">
      <x:c r="C126" s="12"/>
      <x:c r="D126" s="12"/>
      <x:c r="I126" s="18"/>
      <x:c r="J126" s="18"/>
      <x:c r="K126" s="18"/>
      <x:c r="L126" s="18"/>
      <x:c r="M126" s="18"/>
      <x:c r="N126" s="18"/>
      <x:c r="O126" s="18"/>
      <x:c r="P126" s="18"/>
      <x:c r="Q126" s="19"/>
      <x:c r="R126" s="18"/>
      <x:c r="S126" s="18"/>
      <x:c r="T126" s="18"/>
      <x:c r="U126" s="18"/>
      <x:c r="V126" s="19"/>
      <x:c r="W126" s="18"/>
      <x:c r="X126" s="18"/>
      <x:c r="Y126" s="18"/>
      <x:c r="Z126" s="18"/>
    </x:row>
    <x:row r="127">
      <x:c r="C127" s="12"/>
      <x:c r="D127" s="12"/>
      <x:c r="I127" s="18"/>
      <x:c r="J127" s="18"/>
      <x:c r="K127" s="18"/>
      <x:c r="L127" s="18"/>
      <x:c r="M127" s="18"/>
      <x:c r="N127" s="18"/>
      <x:c r="O127" s="18"/>
      <x:c r="P127" s="18"/>
      <x:c r="Q127" s="19"/>
      <x:c r="R127" s="18"/>
      <x:c r="S127" s="18"/>
      <x:c r="T127" s="18"/>
      <x:c r="U127" s="18"/>
      <x:c r="V127" s="19"/>
      <x:c r="W127" s="18"/>
      <x:c r="X127" s="18"/>
      <x:c r="Y127" s="18"/>
      <x:c r="Z127" s="18"/>
    </x:row>
    <x:row r="128">
      <x:c r="C128" s="12"/>
      <x:c r="D128" s="12"/>
      <x:c r="I128" s="18"/>
      <x:c r="J128" s="18"/>
      <x:c r="K128" s="18"/>
      <x:c r="L128" s="18"/>
      <x:c r="M128" s="18"/>
      <x:c r="N128" s="18"/>
      <x:c r="O128" s="18"/>
      <x:c r="P128" s="18"/>
      <x:c r="Q128" s="19"/>
      <x:c r="R128" s="18"/>
      <x:c r="S128" s="18"/>
      <x:c r="T128" s="18"/>
      <x:c r="U128" s="18"/>
      <x:c r="V128" s="19"/>
      <x:c r="W128" s="18"/>
      <x:c r="X128" s="18"/>
      <x:c r="Y128" s="18"/>
      <x:c r="Z128" s="18"/>
    </x:row>
    <x:row r="129">
      <x:c r="C129" s="12"/>
      <x:c r="D129" s="12"/>
      <x:c r="I129" s="18"/>
      <x:c r="J129" s="18"/>
      <x:c r="K129" s="18"/>
      <x:c r="L129" s="18"/>
      <x:c r="M129" s="18"/>
      <x:c r="N129" s="18"/>
      <x:c r="O129" s="18"/>
      <x:c r="P129" s="18"/>
      <x:c r="Q129" s="19"/>
      <x:c r="R129" s="18"/>
      <x:c r="S129" s="18"/>
      <x:c r="T129" s="18"/>
      <x:c r="U129" s="18"/>
      <x:c r="V129" s="19"/>
      <x:c r="W129" s="18"/>
      <x:c r="X129" s="18"/>
      <x:c r="Y129" s="18"/>
      <x:c r="Z129" s="18"/>
    </x:row>
    <x:row r="130">
      <x:c r="C130" s="12"/>
      <x:c r="D130" s="12"/>
      <x:c r="I130" s="18"/>
      <x:c r="J130" s="18"/>
      <x:c r="K130" s="18"/>
      <x:c r="L130" s="18"/>
      <x:c r="M130" s="18"/>
      <x:c r="N130" s="18"/>
      <x:c r="O130" s="18"/>
      <x:c r="P130" s="18"/>
      <x:c r="Q130" s="19"/>
      <x:c r="R130" s="18"/>
      <x:c r="S130" s="18"/>
      <x:c r="T130" s="18"/>
      <x:c r="U130" s="18"/>
      <x:c r="V130" s="19"/>
      <x:c r="W130" s="18"/>
      <x:c r="X130" s="18"/>
      <x:c r="Y130" s="18"/>
      <x:c r="Z130" s="18"/>
    </x:row>
    <x:row r="131">
      <x:c r="C131" s="12"/>
      <x:c r="D131" s="12"/>
      <x:c r="I131" s="18"/>
      <x:c r="J131" s="18"/>
      <x:c r="K131" s="18"/>
      <x:c r="L131" s="18"/>
      <x:c r="M131" s="18"/>
      <x:c r="N131" s="18"/>
      <x:c r="O131" s="18"/>
      <x:c r="P131" s="18"/>
      <x:c r="Q131" s="19"/>
      <x:c r="R131" s="18"/>
      <x:c r="S131" s="18"/>
      <x:c r="T131" s="18"/>
      <x:c r="U131" s="18"/>
      <x:c r="V131" s="19"/>
      <x:c r="W131" s="18"/>
      <x:c r="X131" s="18"/>
      <x:c r="Y131" s="18"/>
      <x:c r="Z131" s="18"/>
    </x:row>
    <x:row r="132">
      <x:c r="C132" s="12"/>
      <x:c r="D132" s="12"/>
      <x:c r="I132" s="18"/>
      <x:c r="J132" s="18"/>
      <x:c r="K132" s="18"/>
      <x:c r="L132" s="18"/>
      <x:c r="M132" s="18"/>
      <x:c r="N132" s="18"/>
      <x:c r="O132" s="18"/>
      <x:c r="P132" s="18"/>
      <x:c r="Q132" s="19"/>
      <x:c r="R132" s="18"/>
      <x:c r="S132" s="18"/>
      <x:c r="T132" s="18"/>
      <x:c r="U132" s="18"/>
      <x:c r="V132" s="19"/>
      <x:c r="W132" s="18"/>
      <x:c r="X132" s="18"/>
      <x:c r="Y132" s="18"/>
      <x:c r="Z132" s="18"/>
    </x:row>
    <x:row r="133">
      <x:c r="C133" s="12"/>
      <x:c r="D133" s="12"/>
      <x:c r="I133" s="18"/>
      <x:c r="J133" s="18"/>
      <x:c r="K133" s="18"/>
      <x:c r="L133" s="18"/>
      <x:c r="M133" s="18"/>
      <x:c r="N133" s="18"/>
      <x:c r="O133" s="18"/>
      <x:c r="P133" s="18"/>
      <x:c r="Q133" s="19"/>
      <x:c r="R133" s="18"/>
      <x:c r="S133" s="18"/>
      <x:c r="T133" s="18"/>
      <x:c r="U133" s="18"/>
      <x:c r="V133" s="19"/>
      <x:c r="W133" s="18"/>
      <x:c r="X133" s="18"/>
      <x:c r="Y133" s="18"/>
      <x:c r="Z133" s="18"/>
    </x:row>
    <x:row r="134">
      <x:c r="C134" s="12"/>
      <x:c r="D134" s="12"/>
      <x:c r="I134" s="18"/>
      <x:c r="J134" s="18"/>
      <x:c r="K134" s="18"/>
      <x:c r="L134" s="18"/>
      <x:c r="M134" s="18"/>
      <x:c r="N134" s="18"/>
      <x:c r="O134" s="18"/>
      <x:c r="P134" s="18"/>
      <x:c r="Q134" s="19"/>
      <x:c r="R134" s="18"/>
      <x:c r="S134" s="18"/>
      <x:c r="T134" s="18"/>
      <x:c r="U134" s="18"/>
      <x:c r="V134" s="19"/>
      <x:c r="W134" s="18"/>
      <x:c r="X134" s="18"/>
      <x:c r="Y134" s="18"/>
      <x:c r="Z134" s="18"/>
    </x:row>
    <x:row r="135">
      <x:c r="C135" s="12"/>
      <x:c r="D135" s="12"/>
      <x:c r="I135" s="18"/>
      <x:c r="J135" s="18"/>
      <x:c r="K135" s="18"/>
      <x:c r="L135" s="18"/>
      <x:c r="M135" s="18"/>
      <x:c r="N135" s="18"/>
      <x:c r="O135" s="18"/>
      <x:c r="P135" s="18"/>
      <x:c r="Q135" s="19"/>
      <x:c r="R135" s="18"/>
      <x:c r="S135" s="18"/>
      <x:c r="T135" s="18"/>
      <x:c r="U135" s="18"/>
      <x:c r="V135" s="19"/>
      <x:c r="W135" s="18"/>
      <x:c r="X135" s="18"/>
      <x:c r="Y135" s="18"/>
      <x:c r="Z135" s="18"/>
    </x:row>
    <x:row r="136">
      <x:c r="C136" s="12"/>
      <x:c r="D136" s="12"/>
      <x:c r="I136" s="18"/>
      <x:c r="J136" s="18"/>
      <x:c r="K136" s="18"/>
      <x:c r="L136" s="18"/>
      <x:c r="M136" s="18"/>
      <x:c r="N136" s="18"/>
      <x:c r="O136" s="18"/>
      <x:c r="P136" s="18"/>
      <x:c r="Q136" s="19"/>
      <x:c r="R136" s="18"/>
      <x:c r="S136" s="18"/>
      <x:c r="T136" s="18"/>
      <x:c r="U136" s="18"/>
      <x:c r="V136" s="19"/>
      <x:c r="W136" s="18"/>
      <x:c r="X136" s="18"/>
      <x:c r="Y136" s="18"/>
      <x:c r="Z136" s="18"/>
    </x:row>
    <x:row r="137">
      <x:c r="C137" s="12"/>
      <x:c r="D137" s="12"/>
      <x:c r="I137" s="18"/>
      <x:c r="J137" s="18"/>
      <x:c r="K137" s="18"/>
      <x:c r="L137" s="18"/>
      <x:c r="M137" s="18"/>
      <x:c r="N137" s="18"/>
      <x:c r="O137" s="18"/>
      <x:c r="P137" s="18"/>
      <x:c r="Q137" s="19"/>
      <x:c r="R137" s="18"/>
      <x:c r="S137" s="18"/>
      <x:c r="T137" s="18"/>
      <x:c r="U137" s="18"/>
      <x:c r="V137" s="19"/>
      <x:c r="W137" s="18"/>
      <x:c r="X137" s="18"/>
      <x:c r="Y137" s="18"/>
      <x:c r="Z137" s="18"/>
    </x:row>
    <x:row r="138">
      <x:c r="C138" s="12"/>
      <x:c r="D138" s="12"/>
      <x:c r="I138" s="18"/>
      <x:c r="J138" s="18"/>
      <x:c r="K138" s="18"/>
      <x:c r="L138" s="18"/>
      <x:c r="M138" s="18"/>
      <x:c r="N138" s="18"/>
      <x:c r="O138" s="18"/>
      <x:c r="P138" s="18"/>
      <x:c r="Q138" s="19"/>
      <x:c r="R138" s="18"/>
      <x:c r="S138" s="18"/>
      <x:c r="T138" s="18"/>
      <x:c r="U138" s="18"/>
      <x:c r="V138" s="19"/>
      <x:c r="W138" s="18"/>
      <x:c r="X138" s="18"/>
      <x:c r="Y138" s="18"/>
      <x:c r="Z138" s="18"/>
    </x:row>
    <x:row r="139">
      <x:c r="C139" s="12"/>
      <x:c r="D139" s="12"/>
      <x:c r="I139" s="18"/>
      <x:c r="J139" s="18"/>
      <x:c r="K139" s="18"/>
      <x:c r="L139" s="18"/>
      <x:c r="M139" s="18"/>
      <x:c r="N139" s="18"/>
      <x:c r="O139" s="18"/>
      <x:c r="P139" s="18"/>
      <x:c r="Q139" s="19"/>
      <x:c r="R139" s="18"/>
      <x:c r="S139" s="18"/>
      <x:c r="T139" s="18"/>
      <x:c r="U139" s="18"/>
      <x:c r="V139" s="19"/>
      <x:c r="W139" s="18"/>
      <x:c r="X139" s="18"/>
      <x:c r="Y139" s="18"/>
      <x:c r="Z139" s="18"/>
    </x:row>
    <x:row r="140">
      <x:c r="C140" s="12"/>
      <x:c r="D140" s="12"/>
      <x:c r="I140" s="18"/>
      <x:c r="J140" s="18"/>
      <x:c r="K140" s="18"/>
      <x:c r="L140" s="18"/>
      <x:c r="M140" s="18"/>
      <x:c r="N140" s="18"/>
      <x:c r="O140" s="18"/>
      <x:c r="P140" s="18"/>
      <x:c r="Q140" s="19"/>
      <x:c r="R140" s="18"/>
      <x:c r="S140" s="18"/>
      <x:c r="T140" s="18"/>
      <x:c r="U140" s="18"/>
      <x:c r="V140" s="19"/>
      <x:c r="W140" s="18"/>
      <x:c r="X140" s="18"/>
      <x:c r="Y140" s="18"/>
      <x:c r="Z140" s="18"/>
    </x:row>
    <x:row r="141">
      <x:c r="C141" s="12"/>
      <x:c r="D141" s="12"/>
      <x:c r="I141" s="18"/>
      <x:c r="J141" s="18"/>
      <x:c r="K141" s="18"/>
      <x:c r="L141" s="18"/>
      <x:c r="M141" s="18"/>
      <x:c r="N141" s="18"/>
      <x:c r="O141" s="18"/>
      <x:c r="P141" s="18"/>
      <x:c r="Q141" s="19"/>
      <x:c r="R141" s="18"/>
      <x:c r="S141" s="18"/>
      <x:c r="T141" s="18"/>
      <x:c r="U141" s="18"/>
      <x:c r="V141" s="19"/>
      <x:c r="W141" s="18"/>
      <x:c r="X141" s="18"/>
      <x:c r="Y141" s="18"/>
      <x:c r="Z141" s="18"/>
    </x:row>
    <x:row r="142">
      <x:c r="C142" s="12"/>
      <x:c r="D142" s="12"/>
      <x:c r="I142" s="18"/>
      <x:c r="J142" s="18"/>
      <x:c r="K142" s="18"/>
      <x:c r="L142" s="18"/>
      <x:c r="M142" s="18"/>
      <x:c r="N142" s="18"/>
      <x:c r="O142" s="18"/>
      <x:c r="P142" s="18"/>
      <x:c r="Q142" s="19"/>
      <x:c r="R142" s="18"/>
      <x:c r="S142" s="18"/>
      <x:c r="T142" s="18"/>
      <x:c r="U142" s="18"/>
      <x:c r="V142" s="19"/>
      <x:c r="W142" s="18"/>
      <x:c r="X142" s="18"/>
      <x:c r="Y142" s="18"/>
      <x:c r="Z142" s="18"/>
    </x:row>
    <x:row r="143">
      <x:c r="C143" s="12"/>
      <x:c r="D143" s="12"/>
      <x:c r="I143" s="18"/>
      <x:c r="J143" s="18"/>
      <x:c r="K143" s="18"/>
      <x:c r="L143" s="18"/>
      <x:c r="M143" s="18"/>
      <x:c r="N143" s="18"/>
      <x:c r="O143" s="18"/>
      <x:c r="P143" s="18"/>
      <x:c r="Q143" s="19"/>
      <x:c r="R143" s="18"/>
      <x:c r="S143" s="18"/>
      <x:c r="T143" s="18"/>
      <x:c r="U143" s="18"/>
      <x:c r="V143" s="19"/>
      <x:c r="W143" s="18"/>
      <x:c r="X143" s="18"/>
      <x:c r="Y143" s="18"/>
      <x:c r="Z143" s="18"/>
    </x:row>
    <x:row r="144">
      <x:c r="C144" s="12"/>
      <x:c r="D144" s="12"/>
      <x:c r="I144" s="18"/>
      <x:c r="J144" s="18"/>
      <x:c r="K144" s="18"/>
      <x:c r="L144" s="18"/>
      <x:c r="M144" s="18"/>
      <x:c r="N144" s="18"/>
      <x:c r="O144" s="18"/>
      <x:c r="P144" s="18"/>
      <x:c r="Q144" s="19"/>
      <x:c r="R144" s="18"/>
      <x:c r="S144" s="18"/>
      <x:c r="T144" s="18"/>
      <x:c r="U144" s="18"/>
      <x:c r="V144" s="19"/>
      <x:c r="W144" s="18"/>
      <x:c r="X144" s="18"/>
      <x:c r="Y144" s="18"/>
      <x:c r="Z144" s="18"/>
    </x:row>
    <x:row r="145">
      <x:c r="C145" s="12"/>
      <x:c r="D145" s="12"/>
      <x:c r="I145" s="18"/>
      <x:c r="J145" s="18"/>
      <x:c r="K145" s="18"/>
      <x:c r="L145" s="18"/>
      <x:c r="M145" s="18"/>
      <x:c r="N145" s="18"/>
      <x:c r="O145" s="18"/>
      <x:c r="P145" s="18"/>
      <x:c r="Q145" s="19"/>
      <x:c r="R145" s="18"/>
      <x:c r="S145" s="18"/>
      <x:c r="T145" s="18"/>
      <x:c r="U145" s="18"/>
      <x:c r="V145" s="19"/>
      <x:c r="W145" s="18"/>
      <x:c r="X145" s="18"/>
      <x:c r="Y145" s="18"/>
      <x:c r="Z145" s="18"/>
    </x:row>
    <x:row r="146">
      <x:c r="C146" s="12"/>
      <x:c r="D146" s="12"/>
      <x:c r="I146" s="18"/>
      <x:c r="J146" s="18"/>
      <x:c r="K146" s="18"/>
      <x:c r="L146" s="18"/>
      <x:c r="M146" s="18"/>
      <x:c r="N146" s="18"/>
      <x:c r="O146" s="18"/>
      <x:c r="P146" s="18"/>
      <x:c r="Q146" s="19"/>
      <x:c r="R146" s="18"/>
      <x:c r="S146" s="18"/>
      <x:c r="T146" s="18"/>
      <x:c r="U146" s="18"/>
      <x:c r="V146" s="19"/>
      <x:c r="W146" s="18"/>
      <x:c r="X146" s="18"/>
      <x:c r="Y146" s="18"/>
      <x:c r="Z146" s="18"/>
    </x:row>
    <x:row r="147">
      <x:c r="C147" s="12"/>
      <x:c r="D147" s="12"/>
      <x:c r="I147" s="18"/>
      <x:c r="J147" s="18"/>
      <x:c r="K147" s="18"/>
      <x:c r="L147" s="18"/>
      <x:c r="M147" s="18"/>
      <x:c r="N147" s="18"/>
      <x:c r="O147" s="18"/>
      <x:c r="P147" s="18"/>
      <x:c r="Q147" s="19"/>
      <x:c r="R147" s="18"/>
      <x:c r="S147" s="18"/>
      <x:c r="T147" s="18"/>
      <x:c r="U147" s="18"/>
      <x:c r="V147" s="19"/>
      <x:c r="W147" s="18"/>
      <x:c r="X147" s="18"/>
      <x:c r="Y147" s="18"/>
      <x:c r="Z147" s="18"/>
    </x:row>
    <x:row r="148">
      <x:c r="C148" s="12"/>
      <x:c r="D148" s="12"/>
      <x:c r="I148" s="18"/>
      <x:c r="J148" s="18"/>
      <x:c r="K148" s="18"/>
      <x:c r="L148" s="18"/>
      <x:c r="M148" s="18"/>
      <x:c r="N148" s="18"/>
      <x:c r="O148" s="18"/>
      <x:c r="P148" s="18"/>
      <x:c r="Q148" s="19"/>
      <x:c r="R148" s="18"/>
      <x:c r="S148" s="18"/>
      <x:c r="T148" s="18"/>
      <x:c r="U148" s="18"/>
      <x:c r="V148" s="19"/>
      <x:c r="W148" s="18"/>
      <x:c r="X148" s="18"/>
      <x:c r="Y148" s="18"/>
      <x:c r="Z148" s="18"/>
    </x:row>
    <x:row r="149">
      <x:c r="C149" s="12"/>
      <x:c r="D149" s="12"/>
      <x:c r="I149" s="18"/>
      <x:c r="J149" s="18"/>
      <x:c r="K149" s="18"/>
      <x:c r="L149" s="18"/>
      <x:c r="M149" s="18"/>
      <x:c r="N149" s="18"/>
      <x:c r="O149" s="18"/>
      <x:c r="P149" s="18"/>
      <x:c r="Q149" s="19"/>
      <x:c r="R149" s="18"/>
      <x:c r="S149" s="18"/>
      <x:c r="T149" s="18"/>
      <x:c r="U149" s="18"/>
      <x:c r="V149" s="19"/>
      <x:c r="W149" s="18"/>
      <x:c r="X149" s="18"/>
      <x:c r="Y149" s="18"/>
      <x:c r="Z149" s="18"/>
    </x:row>
    <x:row r="150">
      <x:c r="C150" s="12"/>
      <x:c r="D150" s="12"/>
      <x:c r="I150" s="18"/>
      <x:c r="J150" s="18"/>
      <x:c r="K150" s="18"/>
      <x:c r="L150" s="18"/>
      <x:c r="M150" s="18"/>
      <x:c r="N150" s="18"/>
      <x:c r="O150" s="18"/>
      <x:c r="P150" s="18"/>
      <x:c r="Q150" s="19"/>
      <x:c r="R150" s="18"/>
      <x:c r="S150" s="18"/>
      <x:c r="T150" s="18"/>
      <x:c r="U150" s="18"/>
      <x:c r="V150" s="19"/>
      <x:c r="W150" s="18"/>
      <x:c r="X150" s="18"/>
      <x:c r="Y150" s="18"/>
      <x:c r="Z150" s="18"/>
    </x:row>
    <x:row r="151">
      <x:c r="C151" s="12"/>
      <x:c r="D151" s="12"/>
      <x:c r="I151" s="18"/>
      <x:c r="J151" s="18"/>
      <x:c r="K151" s="18"/>
      <x:c r="L151" s="18"/>
      <x:c r="M151" s="18"/>
      <x:c r="N151" s="18"/>
      <x:c r="O151" s="18"/>
      <x:c r="P151" s="18"/>
      <x:c r="Q151" s="19"/>
      <x:c r="R151" s="18"/>
      <x:c r="S151" s="18"/>
      <x:c r="T151" s="18"/>
      <x:c r="U151" s="18"/>
      <x:c r="V151" s="19"/>
      <x:c r="W151" s="18"/>
      <x:c r="X151" s="18"/>
      <x:c r="Y151" s="18"/>
      <x:c r="Z151" s="18"/>
    </x:row>
    <x:row r="152">
      <x:c r="C152" s="12"/>
      <x:c r="D152" s="12"/>
      <x:c r="I152" s="18"/>
      <x:c r="J152" s="18"/>
      <x:c r="K152" s="18"/>
      <x:c r="L152" s="18"/>
      <x:c r="M152" s="18"/>
      <x:c r="N152" s="18"/>
      <x:c r="O152" s="18"/>
      <x:c r="P152" s="18"/>
      <x:c r="Q152" s="19"/>
      <x:c r="R152" s="18"/>
      <x:c r="S152" s="18"/>
      <x:c r="T152" s="18"/>
      <x:c r="U152" s="18"/>
      <x:c r="V152" s="19"/>
      <x:c r="W152" s="18"/>
      <x:c r="X152" s="18"/>
      <x:c r="Y152" s="18"/>
      <x:c r="Z152" s="18"/>
    </x:row>
    <x:row r="153">
      <x:c r="C153" s="12"/>
      <x:c r="D153" s="12"/>
      <x:c r="I153" s="18"/>
      <x:c r="J153" s="18"/>
      <x:c r="K153" s="18"/>
      <x:c r="L153" s="18"/>
      <x:c r="M153" s="18"/>
      <x:c r="N153" s="18"/>
      <x:c r="O153" s="18"/>
      <x:c r="P153" s="18"/>
      <x:c r="Q153" s="19"/>
      <x:c r="R153" s="18"/>
      <x:c r="S153" s="18"/>
      <x:c r="T153" s="18"/>
      <x:c r="U153" s="18"/>
      <x:c r="V153" s="19"/>
      <x:c r="W153" s="18"/>
      <x:c r="X153" s="18"/>
      <x:c r="Y153" s="18"/>
      <x:c r="Z153" s="18"/>
    </x:row>
    <x:row r="154">
      <x:c r="C154" s="12"/>
      <x:c r="D154" s="12"/>
      <x:c r="I154" s="18"/>
      <x:c r="J154" s="18"/>
      <x:c r="K154" s="18"/>
      <x:c r="L154" s="18"/>
      <x:c r="M154" s="18"/>
      <x:c r="N154" s="18"/>
      <x:c r="O154" s="18"/>
      <x:c r="P154" s="18"/>
      <x:c r="Q154" s="19"/>
      <x:c r="R154" s="18"/>
      <x:c r="S154" s="18"/>
      <x:c r="T154" s="18"/>
      <x:c r="U154" s="18"/>
      <x:c r="V154" s="19"/>
      <x:c r="W154" s="18"/>
      <x:c r="X154" s="18"/>
      <x:c r="Y154" s="18"/>
      <x:c r="Z154" s="18"/>
    </x:row>
    <x:row r="155">
      <x:c r="C155" s="12"/>
      <x:c r="D155" s="12"/>
      <x:c r="I155" s="18"/>
      <x:c r="J155" s="18"/>
      <x:c r="K155" s="18"/>
      <x:c r="L155" s="18"/>
      <x:c r="M155" s="18"/>
      <x:c r="N155" s="18"/>
      <x:c r="O155" s="18"/>
      <x:c r="P155" s="18"/>
      <x:c r="Q155" s="19"/>
      <x:c r="R155" s="18"/>
      <x:c r="S155" s="18"/>
      <x:c r="T155" s="18"/>
      <x:c r="U155" s="18"/>
      <x:c r="V155" s="19"/>
      <x:c r="W155" s="18"/>
      <x:c r="X155" s="18"/>
      <x:c r="Y155" s="18"/>
      <x:c r="Z155" s="18"/>
    </x:row>
    <x:row r="156">
      <x:c r="C156" s="12"/>
      <x:c r="D156" s="12"/>
      <x:c r="I156" s="18"/>
      <x:c r="J156" s="18"/>
      <x:c r="K156" s="18"/>
      <x:c r="L156" s="18"/>
      <x:c r="M156" s="18"/>
      <x:c r="N156" s="18"/>
      <x:c r="O156" s="18"/>
      <x:c r="P156" s="18"/>
      <x:c r="Q156" s="19"/>
      <x:c r="R156" s="18"/>
      <x:c r="S156" s="18"/>
      <x:c r="T156" s="18"/>
      <x:c r="U156" s="18"/>
      <x:c r="V156" s="19"/>
      <x:c r="W156" s="18"/>
      <x:c r="X156" s="18"/>
      <x:c r="Y156" s="18"/>
      <x:c r="Z156" s="18"/>
    </x:row>
    <x:row r="157">
      <x:c r="C157" s="12"/>
      <x:c r="D157" s="12"/>
      <x:c r="I157" s="18"/>
      <x:c r="J157" s="18"/>
      <x:c r="K157" s="18"/>
      <x:c r="L157" s="18"/>
      <x:c r="M157" s="18"/>
      <x:c r="N157" s="18"/>
      <x:c r="O157" s="18"/>
      <x:c r="P157" s="18"/>
      <x:c r="Q157" s="19"/>
      <x:c r="R157" s="18"/>
      <x:c r="S157" s="18"/>
      <x:c r="T157" s="18"/>
      <x:c r="U157" s="18"/>
      <x:c r="V157" s="19"/>
      <x:c r="W157" s="18"/>
      <x:c r="X157" s="18"/>
      <x:c r="Y157" s="18"/>
      <x:c r="Z157" s="18"/>
    </x:row>
    <x:row r="158">
      <x:c r="C158" s="12"/>
      <x:c r="D158" s="12"/>
      <x:c r="I158" s="18"/>
      <x:c r="J158" s="18"/>
      <x:c r="K158" s="18"/>
      <x:c r="L158" s="18"/>
      <x:c r="M158" s="18"/>
      <x:c r="N158" s="18"/>
      <x:c r="O158" s="18"/>
      <x:c r="P158" s="18"/>
      <x:c r="Q158" s="19"/>
      <x:c r="R158" s="18"/>
      <x:c r="S158" s="18"/>
      <x:c r="T158" s="18"/>
      <x:c r="U158" s="18"/>
      <x:c r="V158" s="19"/>
      <x:c r="W158" s="18"/>
      <x:c r="X158" s="18"/>
      <x:c r="Y158" s="18"/>
      <x:c r="Z158" s="18"/>
    </x:row>
    <x:row r="159">
      <x:c r="C159" s="12"/>
      <x:c r="D159" s="12"/>
      <x:c r="I159" s="18"/>
      <x:c r="J159" s="18"/>
      <x:c r="K159" s="18"/>
      <x:c r="L159" s="18"/>
      <x:c r="M159" s="18"/>
      <x:c r="N159" s="18"/>
      <x:c r="O159" s="18"/>
      <x:c r="P159" s="18"/>
      <x:c r="Q159" s="19"/>
      <x:c r="R159" s="18"/>
      <x:c r="S159" s="18"/>
      <x:c r="T159" s="18"/>
      <x:c r="U159" s="18"/>
      <x:c r="V159" s="19"/>
      <x:c r="W159" s="18"/>
      <x:c r="X159" s="18"/>
      <x:c r="Y159" s="18"/>
      <x:c r="Z159" s="18"/>
    </x:row>
    <x:row r="160">
      <x:c r="C160" s="12"/>
      <x:c r="D160" s="12"/>
      <x:c r="I160" s="18"/>
      <x:c r="J160" s="18"/>
      <x:c r="K160" s="18"/>
      <x:c r="L160" s="18"/>
      <x:c r="M160" s="18"/>
      <x:c r="N160" s="18"/>
      <x:c r="O160" s="18"/>
      <x:c r="P160" s="18"/>
      <x:c r="Q160" s="19"/>
      <x:c r="R160" s="18"/>
      <x:c r="S160" s="18"/>
      <x:c r="T160" s="18"/>
      <x:c r="U160" s="18"/>
      <x:c r="V160" s="19"/>
      <x:c r="W160" s="18"/>
      <x:c r="X160" s="18"/>
      <x:c r="Y160" s="18"/>
      <x:c r="Z160" s="18"/>
    </x:row>
    <x:row r="161">
      <x:c r="C161" s="12"/>
      <x:c r="D161" s="12"/>
      <x:c r="I161" s="18"/>
      <x:c r="J161" s="18"/>
      <x:c r="K161" s="18"/>
      <x:c r="L161" s="18"/>
      <x:c r="M161" s="18"/>
      <x:c r="N161" s="18"/>
      <x:c r="O161" s="18"/>
      <x:c r="P161" s="18"/>
      <x:c r="Q161" s="19"/>
      <x:c r="R161" s="18"/>
      <x:c r="S161" s="18"/>
      <x:c r="T161" s="18"/>
      <x:c r="U161" s="18"/>
      <x:c r="V161" s="19"/>
      <x:c r="W161" s="18"/>
      <x:c r="X161" s="18"/>
      <x:c r="Y161" s="18"/>
      <x:c r="Z161" s="18"/>
    </x:row>
    <x:row r="162">
      <x:c r="C162" s="12"/>
      <x:c r="D162" s="12"/>
      <x:c r="I162" s="18"/>
      <x:c r="J162" s="18"/>
      <x:c r="K162" s="18"/>
      <x:c r="L162" s="18"/>
      <x:c r="M162" s="18"/>
      <x:c r="N162" s="18"/>
      <x:c r="O162" s="18"/>
      <x:c r="P162" s="18"/>
      <x:c r="Q162" s="19"/>
      <x:c r="R162" s="18"/>
      <x:c r="S162" s="18"/>
      <x:c r="T162" s="18"/>
      <x:c r="U162" s="18"/>
      <x:c r="V162" s="19"/>
      <x:c r="W162" s="18"/>
      <x:c r="X162" s="18"/>
      <x:c r="Y162" s="18"/>
      <x:c r="Z162" s="18"/>
    </x:row>
    <x:row r="163">
      <x:c r="C163" s="12"/>
      <x:c r="D163" s="12"/>
      <x:c r="I163" s="18"/>
      <x:c r="J163" s="18"/>
      <x:c r="K163" s="18"/>
      <x:c r="L163" s="18"/>
      <x:c r="M163" s="18"/>
      <x:c r="N163" s="18"/>
      <x:c r="O163" s="18"/>
      <x:c r="P163" s="18"/>
      <x:c r="Q163" s="19"/>
      <x:c r="R163" s="18"/>
      <x:c r="S163" s="18"/>
      <x:c r="T163" s="18"/>
      <x:c r="U163" s="18"/>
      <x:c r="V163" s="19"/>
      <x:c r="W163" s="18"/>
      <x:c r="X163" s="18"/>
      <x:c r="Y163" s="18"/>
      <x:c r="Z163" s="18"/>
    </x:row>
    <x:row r="164">
      <x:c r="C164" s="12"/>
      <x:c r="D164" s="12"/>
      <x:c r="I164" s="18"/>
      <x:c r="J164" s="18"/>
      <x:c r="K164" s="18"/>
      <x:c r="L164" s="18"/>
      <x:c r="M164" s="18"/>
      <x:c r="N164" s="18"/>
      <x:c r="O164" s="18"/>
      <x:c r="P164" s="18"/>
      <x:c r="Q164" s="19"/>
      <x:c r="R164" s="18"/>
      <x:c r="S164" s="18"/>
      <x:c r="T164" s="18"/>
      <x:c r="U164" s="18"/>
      <x:c r="V164" s="19"/>
      <x:c r="W164" s="18"/>
      <x:c r="X164" s="18"/>
      <x:c r="Y164" s="18"/>
      <x:c r="Z164" s="18"/>
    </x:row>
    <x:row r="165">
      <x:c r="C165" s="12"/>
      <x:c r="D165" s="12"/>
      <x:c r="I165" s="18"/>
      <x:c r="J165" s="18"/>
      <x:c r="K165" s="18"/>
      <x:c r="L165" s="18"/>
      <x:c r="M165" s="18"/>
      <x:c r="N165" s="18"/>
      <x:c r="O165" s="18"/>
      <x:c r="P165" s="18"/>
      <x:c r="Q165" s="19"/>
      <x:c r="R165" s="18"/>
      <x:c r="S165" s="18"/>
      <x:c r="T165" s="18"/>
      <x:c r="U165" s="18"/>
      <x:c r="V165" s="19"/>
      <x:c r="W165" s="18"/>
      <x:c r="X165" s="18"/>
      <x:c r="Y165" s="18"/>
      <x:c r="Z165" s="18"/>
    </x:row>
    <x:row r="166">
      <x:c r="C166" s="12"/>
      <x:c r="D166" s="12"/>
      <x:c r="I166" s="18"/>
      <x:c r="J166" s="18"/>
      <x:c r="K166" s="18"/>
      <x:c r="L166" s="18"/>
      <x:c r="M166" s="18"/>
      <x:c r="N166" s="18"/>
      <x:c r="O166" s="18"/>
      <x:c r="P166" s="18"/>
      <x:c r="Q166" s="19"/>
      <x:c r="R166" s="18"/>
      <x:c r="S166" s="18"/>
      <x:c r="T166" s="18"/>
      <x:c r="U166" s="18"/>
      <x:c r="V166" s="19"/>
      <x:c r="W166" s="18"/>
      <x:c r="X166" s="18"/>
      <x:c r="Y166" s="18"/>
      <x:c r="Z166" s="18"/>
    </x:row>
    <x:row r="167">
      <x:c r="C167" s="12"/>
      <x:c r="D167" s="12"/>
      <x:c r="I167" s="18"/>
      <x:c r="J167" s="18"/>
      <x:c r="K167" s="18"/>
      <x:c r="L167" s="18"/>
      <x:c r="M167" s="18"/>
      <x:c r="N167" s="18"/>
      <x:c r="O167" s="18"/>
      <x:c r="P167" s="18"/>
      <x:c r="Q167" s="19"/>
      <x:c r="R167" s="18"/>
      <x:c r="S167" s="18"/>
      <x:c r="T167" s="18"/>
      <x:c r="U167" s="18"/>
      <x:c r="V167" s="19"/>
      <x:c r="W167" s="18"/>
      <x:c r="X167" s="18"/>
      <x:c r="Y167" s="18"/>
      <x:c r="Z167" s="18"/>
    </x:row>
    <x:row r="168">
      <x:c r="C168" s="12"/>
      <x:c r="D168" s="12"/>
      <x:c r="I168" s="18"/>
      <x:c r="J168" s="18"/>
      <x:c r="K168" s="18"/>
      <x:c r="L168" s="18"/>
      <x:c r="M168" s="18"/>
      <x:c r="N168" s="18"/>
      <x:c r="O168" s="18"/>
      <x:c r="P168" s="18"/>
      <x:c r="Q168" s="19"/>
      <x:c r="R168" s="18"/>
      <x:c r="S168" s="18"/>
      <x:c r="T168" s="18"/>
      <x:c r="U168" s="18"/>
      <x:c r="V168" s="19"/>
      <x:c r="W168" s="18"/>
      <x:c r="X168" s="18"/>
      <x:c r="Y168" s="18"/>
      <x:c r="Z168" s="18"/>
    </x:row>
    <x:row r="169">
      <x:c r="C169" s="12"/>
      <x:c r="D169" s="12"/>
      <x:c r="I169" s="18"/>
      <x:c r="J169" s="18"/>
      <x:c r="K169" s="18"/>
      <x:c r="L169" s="18"/>
      <x:c r="M169" s="18"/>
      <x:c r="N169" s="18"/>
      <x:c r="O169" s="18"/>
      <x:c r="P169" s="18"/>
      <x:c r="Q169" s="19"/>
      <x:c r="R169" s="18"/>
      <x:c r="S169" s="18"/>
      <x:c r="T169" s="18"/>
      <x:c r="U169" s="18"/>
      <x:c r="V169" s="19"/>
      <x:c r="W169" s="18"/>
      <x:c r="X169" s="18"/>
      <x:c r="Y169" s="18"/>
      <x:c r="Z169" s="18"/>
    </x:row>
    <x:row r="170">
      <x:c r="C170" s="12"/>
      <x:c r="D170" s="12"/>
      <x:c r="I170" s="18"/>
      <x:c r="J170" s="18"/>
      <x:c r="K170" s="18"/>
      <x:c r="L170" s="18"/>
      <x:c r="M170" s="18"/>
      <x:c r="N170" s="18"/>
      <x:c r="O170" s="18"/>
      <x:c r="P170" s="18"/>
      <x:c r="Q170" s="19"/>
      <x:c r="R170" s="18"/>
      <x:c r="S170" s="18"/>
      <x:c r="T170" s="18"/>
      <x:c r="U170" s="18"/>
      <x:c r="V170" s="19"/>
      <x:c r="W170" s="18"/>
      <x:c r="X170" s="18"/>
      <x:c r="Y170" s="18"/>
      <x:c r="Z170" s="18"/>
    </x:row>
    <x:row r="171">
      <x:c r="C171" s="12"/>
      <x:c r="D171" s="12"/>
      <x:c r="I171" s="18"/>
      <x:c r="J171" s="18"/>
      <x:c r="K171" s="18"/>
      <x:c r="L171" s="18"/>
      <x:c r="M171" s="18"/>
      <x:c r="N171" s="18"/>
      <x:c r="O171" s="18"/>
      <x:c r="P171" s="18"/>
      <x:c r="Q171" s="19"/>
      <x:c r="R171" s="18"/>
      <x:c r="S171" s="18"/>
      <x:c r="T171" s="18"/>
      <x:c r="U171" s="18"/>
      <x:c r="V171" s="19"/>
      <x:c r="W171" s="18"/>
      <x:c r="X171" s="18"/>
      <x:c r="Y171" s="18"/>
      <x:c r="Z171" s="18"/>
    </x:row>
    <x:row r="172">
      <x:c r="C172" s="12"/>
      <x:c r="D172" s="12"/>
      <x:c r="I172" s="18"/>
      <x:c r="J172" s="18"/>
      <x:c r="K172" s="18"/>
      <x:c r="L172" s="18"/>
      <x:c r="M172" s="18"/>
      <x:c r="N172" s="18"/>
      <x:c r="O172" s="18"/>
      <x:c r="P172" s="18"/>
      <x:c r="Q172" s="19"/>
      <x:c r="R172" s="18"/>
      <x:c r="S172" s="18"/>
      <x:c r="T172" s="18"/>
      <x:c r="U172" s="18"/>
      <x:c r="V172" s="19"/>
      <x:c r="W172" s="18"/>
      <x:c r="X172" s="18"/>
      <x:c r="Y172" s="18"/>
      <x:c r="Z172" s="18"/>
    </x:row>
    <x:row r="173">
      <x:c r="C173" s="12"/>
      <x:c r="D173" s="12"/>
      <x:c r="I173" s="18"/>
      <x:c r="J173" s="18"/>
      <x:c r="K173" s="18"/>
      <x:c r="L173" s="18"/>
      <x:c r="M173" s="18"/>
      <x:c r="N173" s="18"/>
      <x:c r="O173" s="18"/>
      <x:c r="P173" s="18"/>
      <x:c r="Q173" s="19"/>
      <x:c r="R173" s="18"/>
      <x:c r="S173" s="18"/>
      <x:c r="T173" s="18"/>
      <x:c r="U173" s="18"/>
      <x:c r="V173" s="19"/>
      <x:c r="W173" s="18"/>
      <x:c r="X173" s="18"/>
      <x:c r="Y173" s="18"/>
      <x:c r="Z173" s="18"/>
    </x:row>
    <x:row r="174">
      <x:c r="C174" s="12"/>
      <x:c r="D174" s="12"/>
      <x:c r="I174" s="18"/>
      <x:c r="J174" s="18"/>
      <x:c r="K174" s="18"/>
      <x:c r="L174" s="18"/>
      <x:c r="M174" s="18"/>
      <x:c r="N174" s="18"/>
      <x:c r="O174" s="18"/>
      <x:c r="P174" s="18"/>
      <x:c r="Q174" s="19"/>
      <x:c r="R174" s="18"/>
      <x:c r="S174" s="18"/>
      <x:c r="T174" s="18"/>
      <x:c r="U174" s="18"/>
      <x:c r="V174" s="19"/>
      <x:c r="W174" s="18"/>
      <x:c r="X174" s="18"/>
      <x:c r="Y174" s="18"/>
      <x:c r="Z174" s="18"/>
    </x:row>
    <x:row r="175">
      <x:c r="C175" s="12"/>
      <x:c r="D175" s="12"/>
      <x:c r="I175" s="18"/>
      <x:c r="J175" s="18"/>
      <x:c r="K175" s="18"/>
      <x:c r="L175" s="18"/>
      <x:c r="M175" s="18"/>
      <x:c r="N175" s="18"/>
      <x:c r="O175" s="18"/>
      <x:c r="P175" s="18"/>
      <x:c r="Q175" s="19"/>
      <x:c r="R175" s="18"/>
      <x:c r="S175" s="18"/>
      <x:c r="T175" s="18"/>
      <x:c r="U175" s="18"/>
      <x:c r="V175" s="19"/>
      <x:c r="W175" s="18"/>
      <x:c r="X175" s="18"/>
      <x:c r="Y175" s="18"/>
      <x:c r="Z175" s="18"/>
    </x:row>
    <x:row r="176">
      <x:c r="C176" s="12"/>
      <x:c r="D176" s="12"/>
      <x:c r="I176" s="18"/>
      <x:c r="J176" s="18"/>
      <x:c r="K176" s="18"/>
      <x:c r="L176" s="18"/>
      <x:c r="M176" s="18"/>
      <x:c r="N176" s="18"/>
      <x:c r="O176" s="18"/>
      <x:c r="P176" s="18"/>
      <x:c r="Q176" s="19"/>
      <x:c r="R176" s="18"/>
      <x:c r="S176" s="18"/>
      <x:c r="T176" s="18"/>
      <x:c r="U176" s="18"/>
      <x:c r="V176" s="19"/>
      <x:c r="W176" s="18"/>
      <x:c r="X176" s="18"/>
      <x:c r="Y176" s="18"/>
      <x:c r="Z176" s="18"/>
    </x:row>
    <x:row r="177">
      <x:c r="C177" s="12"/>
      <x:c r="D177" s="12"/>
      <x:c r="I177" s="18"/>
      <x:c r="J177" s="18"/>
      <x:c r="K177" s="18"/>
      <x:c r="L177" s="18"/>
      <x:c r="M177" s="18"/>
      <x:c r="N177" s="18"/>
      <x:c r="O177" s="18"/>
      <x:c r="P177" s="18"/>
      <x:c r="Q177" s="19"/>
      <x:c r="R177" s="18"/>
      <x:c r="S177" s="18"/>
      <x:c r="T177" s="18"/>
      <x:c r="U177" s="18"/>
      <x:c r="V177" s="19"/>
      <x:c r="W177" s="18"/>
      <x:c r="X177" s="18"/>
      <x:c r="Y177" s="18"/>
      <x:c r="Z177" s="18"/>
    </x:row>
    <x:row r="178">
      <x:c r="C178" s="12"/>
      <x:c r="D178" s="12"/>
      <x:c r="I178" s="18"/>
      <x:c r="J178" s="18"/>
      <x:c r="K178" s="18"/>
      <x:c r="L178" s="18"/>
      <x:c r="M178" s="18"/>
      <x:c r="N178" s="18"/>
      <x:c r="O178" s="18"/>
      <x:c r="P178" s="18"/>
      <x:c r="Q178" s="19"/>
      <x:c r="R178" s="18"/>
      <x:c r="S178" s="18"/>
      <x:c r="T178" s="18"/>
      <x:c r="U178" s="18"/>
      <x:c r="V178" s="19"/>
      <x:c r="W178" s="18"/>
      <x:c r="X178" s="18"/>
      <x:c r="Y178" s="18"/>
      <x:c r="Z178" s="18"/>
    </x:row>
    <x:row r="179">
      <x:c r="C179" s="12"/>
      <x:c r="D179" s="12"/>
      <x:c r="I179" s="18"/>
      <x:c r="J179" s="18"/>
      <x:c r="K179" s="18"/>
      <x:c r="L179" s="18"/>
      <x:c r="M179" s="18"/>
      <x:c r="N179" s="18"/>
      <x:c r="O179" s="18"/>
      <x:c r="P179" s="18"/>
      <x:c r="Q179" s="19"/>
      <x:c r="R179" s="18"/>
      <x:c r="S179" s="18"/>
      <x:c r="T179" s="18"/>
      <x:c r="U179" s="18"/>
      <x:c r="V179" s="19"/>
      <x:c r="W179" s="18"/>
      <x:c r="X179" s="18"/>
      <x:c r="Y179" s="18"/>
      <x:c r="Z179" s="18"/>
    </x:row>
    <x:row r="180">
      <x:c r="C180" s="12"/>
      <x:c r="D180" s="12"/>
      <x:c r="I180" s="18"/>
      <x:c r="J180" s="18"/>
      <x:c r="K180" s="18"/>
      <x:c r="L180" s="18"/>
      <x:c r="M180" s="18"/>
      <x:c r="N180" s="18"/>
      <x:c r="O180" s="18"/>
      <x:c r="P180" s="18"/>
      <x:c r="Q180" s="19"/>
      <x:c r="R180" s="18"/>
      <x:c r="S180" s="18"/>
      <x:c r="T180" s="18"/>
      <x:c r="U180" s="18"/>
      <x:c r="V180" s="19"/>
      <x:c r="W180" s="18"/>
      <x:c r="X180" s="18"/>
      <x:c r="Y180" s="18"/>
      <x:c r="Z180" s="18"/>
    </x:row>
    <x:row r="181">
      <x:c r="C181" s="12"/>
      <x:c r="D181" s="12"/>
      <x:c r="I181" s="18"/>
      <x:c r="J181" s="18"/>
      <x:c r="K181" s="18"/>
      <x:c r="L181" s="18"/>
      <x:c r="M181" s="18"/>
      <x:c r="N181" s="18"/>
      <x:c r="O181" s="18"/>
      <x:c r="P181" s="18"/>
      <x:c r="Q181" s="19"/>
      <x:c r="R181" s="18"/>
      <x:c r="S181" s="18"/>
      <x:c r="T181" s="18"/>
      <x:c r="U181" s="18"/>
      <x:c r="V181" s="19"/>
      <x:c r="W181" s="18"/>
      <x:c r="X181" s="18"/>
      <x:c r="Y181" s="18"/>
      <x:c r="Z181" s="18"/>
    </x:row>
    <x:row r="182">
      <x:c r="C182" s="12"/>
      <x:c r="D182" s="12"/>
      <x:c r="I182" s="18"/>
      <x:c r="J182" s="18"/>
      <x:c r="K182" s="18"/>
      <x:c r="L182" s="18"/>
      <x:c r="M182" s="18"/>
      <x:c r="N182" s="18"/>
      <x:c r="O182" s="18"/>
      <x:c r="P182" s="18"/>
      <x:c r="Q182" s="19"/>
      <x:c r="R182" s="18"/>
      <x:c r="S182" s="18"/>
      <x:c r="T182" s="18"/>
      <x:c r="U182" s="18"/>
      <x:c r="V182" s="19"/>
      <x:c r="W182" s="18"/>
      <x:c r="X182" s="18"/>
      <x:c r="Y182" s="18"/>
      <x:c r="Z182" s="18"/>
    </x:row>
    <x:row r="183">
      <x:c r="C183" s="12"/>
      <x:c r="D183" s="12"/>
      <x:c r="I183" s="18"/>
      <x:c r="J183" s="18"/>
      <x:c r="K183" s="18"/>
      <x:c r="L183" s="18"/>
      <x:c r="M183" s="18"/>
      <x:c r="N183" s="18"/>
      <x:c r="O183" s="18"/>
      <x:c r="P183" s="18"/>
      <x:c r="Q183" s="19"/>
      <x:c r="R183" s="18"/>
      <x:c r="S183" s="18"/>
      <x:c r="T183" s="18"/>
      <x:c r="U183" s="18"/>
      <x:c r="V183" s="19"/>
      <x:c r="W183" s="18"/>
      <x:c r="X183" s="18"/>
      <x:c r="Y183" s="18"/>
      <x:c r="Z183" s="18"/>
    </x:row>
    <x:row r="184">
      <x:c r="C184" s="12"/>
      <x:c r="D184" s="12"/>
      <x:c r="I184" s="18"/>
      <x:c r="J184" s="18"/>
      <x:c r="K184" s="18"/>
      <x:c r="L184" s="18"/>
      <x:c r="M184" s="18"/>
      <x:c r="N184" s="18"/>
      <x:c r="O184" s="18"/>
      <x:c r="P184" s="18"/>
      <x:c r="Q184" s="19"/>
      <x:c r="R184" s="18"/>
      <x:c r="S184" s="18"/>
      <x:c r="T184" s="18"/>
      <x:c r="U184" s="18"/>
      <x:c r="V184" s="19"/>
      <x:c r="W184" s="18"/>
      <x:c r="X184" s="18"/>
      <x:c r="Y184" s="18"/>
      <x:c r="Z184" s="18"/>
    </x:row>
    <x:row r="185">
      <x:c r="C185" s="12"/>
      <x:c r="D185" s="12"/>
      <x:c r="I185" s="18"/>
      <x:c r="J185" s="18"/>
      <x:c r="K185" s="18"/>
      <x:c r="L185" s="18"/>
      <x:c r="M185" s="18"/>
      <x:c r="N185" s="18"/>
      <x:c r="O185" s="18"/>
      <x:c r="P185" s="18"/>
      <x:c r="Q185" s="19"/>
      <x:c r="R185" s="18"/>
      <x:c r="S185" s="18"/>
      <x:c r="T185" s="18"/>
      <x:c r="U185" s="18"/>
      <x:c r="V185" s="19"/>
      <x:c r="W185" s="18"/>
      <x:c r="X185" s="18"/>
      <x:c r="Y185" s="18"/>
      <x:c r="Z185" s="18"/>
    </x:row>
    <x:row r="186">
      <x:c r="C186" s="12"/>
      <x:c r="D186" s="12"/>
      <x:c r="I186" s="18"/>
      <x:c r="J186" s="18"/>
      <x:c r="K186" s="18"/>
      <x:c r="L186" s="18"/>
      <x:c r="M186" s="18"/>
      <x:c r="N186" s="18"/>
      <x:c r="O186" s="18"/>
      <x:c r="P186" s="18"/>
      <x:c r="Q186" s="19"/>
      <x:c r="R186" s="18"/>
      <x:c r="S186" s="18"/>
      <x:c r="T186" s="18"/>
      <x:c r="U186" s="18"/>
      <x:c r="V186" s="19"/>
      <x:c r="W186" s="18"/>
      <x:c r="X186" s="18"/>
      <x:c r="Y186" s="18"/>
      <x:c r="Z186" s="18"/>
    </x:row>
    <x:row r="187">
      <x:c r="C187" s="12"/>
      <x:c r="D187" s="12"/>
      <x:c r="I187" s="18"/>
      <x:c r="J187" s="18"/>
      <x:c r="K187" s="18"/>
      <x:c r="L187" s="18"/>
      <x:c r="M187" s="18"/>
      <x:c r="N187" s="18"/>
      <x:c r="O187" s="18"/>
      <x:c r="P187" s="18"/>
      <x:c r="Q187" s="19"/>
      <x:c r="R187" s="18"/>
      <x:c r="S187" s="18"/>
      <x:c r="T187" s="18"/>
      <x:c r="U187" s="18"/>
      <x:c r="V187" s="19"/>
      <x:c r="W187" s="18"/>
      <x:c r="X187" s="18"/>
      <x:c r="Y187" s="18"/>
      <x:c r="Z187" s="18"/>
    </x:row>
    <x:row r="188">
      <x:c r="C188" s="12"/>
      <x:c r="D188" s="12"/>
      <x:c r="I188" s="18"/>
      <x:c r="J188" s="18"/>
      <x:c r="K188" s="18"/>
      <x:c r="L188" s="18"/>
      <x:c r="M188" s="18"/>
      <x:c r="N188" s="18"/>
      <x:c r="O188" s="18"/>
      <x:c r="P188" s="18"/>
      <x:c r="Q188" s="19"/>
      <x:c r="R188" s="18"/>
      <x:c r="S188" s="18"/>
      <x:c r="T188" s="18"/>
      <x:c r="U188" s="18"/>
      <x:c r="V188" s="19"/>
      <x:c r="W188" s="18"/>
      <x:c r="X188" s="18"/>
      <x:c r="Y188" s="18"/>
      <x:c r="Z188" s="18"/>
    </x:row>
    <x:row r="189">
      <x:c r="C189" s="12"/>
      <x:c r="D189" s="12"/>
      <x:c r="I189" s="18"/>
      <x:c r="J189" s="18"/>
      <x:c r="K189" s="18"/>
      <x:c r="L189" s="18"/>
      <x:c r="M189" s="18"/>
      <x:c r="N189" s="18"/>
      <x:c r="O189" s="18"/>
      <x:c r="P189" s="18"/>
      <x:c r="Q189" s="19"/>
      <x:c r="R189" s="18"/>
      <x:c r="S189" s="18"/>
      <x:c r="T189" s="18"/>
      <x:c r="U189" s="18"/>
      <x:c r="V189" s="19"/>
      <x:c r="W189" s="18"/>
      <x:c r="X189" s="18"/>
      <x:c r="Y189" s="18"/>
      <x:c r="Z189" s="18"/>
    </x:row>
    <x:row r="190">
      <x:c r="C190" s="12"/>
      <x:c r="D190" s="12"/>
      <x:c r="I190" s="18"/>
      <x:c r="J190" s="18"/>
      <x:c r="K190" s="18"/>
      <x:c r="L190" s="18"/>
      <x:c r="M190" s="18"/>
      <x:c r="N190" s="18"/>
      <x:c r="O190" s="18"/>
      <x:c r="P190" s="18"/>
      <x:c r="Q190" s="19"/>
      <x:c r="R190" s="18"/>
      <x:c r="S190" s="18"/>
      <x:c r="T190" s="18"/>
      <x:c r="U190" s="18"/>
      <x:c r="V190" s="19"/>
      <x:c r="W190" s="18"/>
      <x:c r="X190" s="18"/>
      <x:c r="Y190" s="18"/>
      <x:c r="Z190" s="18"/>
    </x:row>
    <x:row r="191">
      <x:c r="C191" s="12"/>
      <x:c r="D191" s="12"/>
      <x:c r="I191" s="18"/>
      <x:c r="J191" s="18"/>
      <x:c r="K191" s="18"/>
      <x:c r="L191" s="18"/>
      <x:c r="M191" s="18"/>
      <x:c r="N191" s="18"/>
      <x:c r="O191" s="18"/>
      <x:c r="P191" s="18"/>
      <x:c r="Q191" s="19"/>
      <x:c r="R191" s="18"/>
      <x:c r="S191" s="18"/>
      <x:c r="T191" s="18"/>
      <x:c r="U191" s="18"/>
      <x:c r="V191" s="19"/>
      <x:c r="W191" s="18"/>
      <x:c r="X191" s="18"/>
      <x:c r="Y191" s="18"/>
      <x:c r="Z191" s="18"/>
    </x:row>
    <x:row r="192">
      <x:c r="C192" s="12"/>
      <x:c r="D192" s="12"/>
      <x:c r="I192" s="18"/>
      <x:c r="J192" s="18"/>
      <x:c r="K192" s="18"/>
      <x:c r="L192" s="18"/>
      <x:c r="M192" s="18"/>
      <x:c r="N192" s="18"/>
      <x:c r="O192" s="18"/>
      <x:c r="P192" s="18"/>
      <x:c r="Q192" s="19"/>
      <x:c r="R192" s="18"/>
      <x:c r="S192" s="18"/>
      <x:c r="T192" s="18"/>
      <x:c r="U192" s="18"/>
      <x:c r="V192" s="19"/>
      <x:c r="W192" s="18"/>
      <x:c r="X192" s="18"/>
      <x:c r="Y192" s="18"/>
      <x:c r="Z192" s="18"/>
    </x:row>
    <x:row r="193">
      <x:c r="C193" s="12"/>
      <x:c r="D193" s="12"/>
      <x:c r="I193" s="18"/>
      <x:c r="J193" s="18"/>
      <x:c r="K193" s="18"/>
      <x:c r="L193" s="18"/>
      <x:c r="M193" s="18"/>
      <x:c r="N193" s="18"/>
      <x:c r="O193" s="18"/>
      <x:c r="P193" s="18"/>
      <x:c r="Q193" s="19"/>
      <x:c r="R193" s="18"/>
      <x:c r="S193" s="18"/>
      <x:c r="T193" s="18"/>
      <x:c r="U193" s="18"/>
      <x:c r="V193" s="19"/>
      <x:c r="W193" s="18"/>
      <x:c r="X193" s="18"/>
      <x:c r="Y193" s="18"/>
      <x:c r="Z193" s="18"/>
    </x:row>
    <x:row r="194">
      <x:c r="C194" s="12"/>
      <x:c r="D194" s="12"/>
      <x:c r="I194" s="18"/>
      <x:c r="J194" s="18"/>
      <x:c r="K194" s="18"/>
      <x:c r="L194" s="18"/>
      <x:c r="M194" s="18"/>
      <x:c r="N194" s="18"/>
      <x:c r="O194" s="18"/>
      <x:c r="P194" s="18"/>
      <x:c r="Q194" s="19"/>
      <x:c r="R194" s="18"/>
      <x:c r="S194" s="18"/>
      <x:c r="T194" s="18"/>
      <x:c r="U194" s="18"/>
      <x:c r="V194" s="19"/>
      <x:c r="W194" s="18"/>
      <x:c r="X194" s="18"/>
      <x:c r="Y194" s="18"/>
      <x:c r="Z194" s="18"/>
    </x:row>
    <x:row r="195">
      <x:c r="C195" s="12"/>
      <x:c r="D195" s="12"/>
      <x:c r="I195" s="18"/>
      <x:c r="J195" s="18"/>
      <x:c r="K195" s="18"/>
      <x:c r="L195" s="18"/>
      <x:c r="M195" s="18"/>
      <x:c r="N195" s="18"/>
      <x:c r="O195" s="18"/>
      <x:c r="P195" s="18"/>
      <x:c r="Q195" s="19"/>
      <x:c r="R195" s="18"/>
      <x:c r="S195" s="18"/>
      <x:c r="T195" s="18"/>
      <x:c r="U195" s="18"/>
      <x:c r="V195" s="19"/>
      <x:c r="W195" s="18"/>
      <x:c r="X195" s="18"/>
      <x:c r="Y195" s="18"/>
      <x:c r="Z195" s="18"/>
    </x:row>
    <x:row r="196">
      <x:c r="C196" s="12"/>
      <x:c r="D196" s="12"/>
      <x:c r="I196" s="18"/>
      <x:c r="J196" s="18"/>
      <x:c r="K196" s="18"/>
      <x:c r="L196" s="18"/>
      <x:c r="M196" s="18"/>
      <x:c r="N196" s="18"/>
      <x:c r="O196" s="18"/>
      <x:c r="P196" s="18"/>
      <x:c r="Q196" s="19"/>
      <x:c r="R196" s="18"/>
      <x:c r="S196" s="18"/>
      <x:c r="T196" s="18"/>
      <x:c r="U196" s="18"/>
      <x:c r="V196" s="19"/>
      <x:c r="W196" s="18"/>
      <x:c r="X196" s="18"/>
      <x:c r="Y196" s="18"/>
      <x:c r="Z196" s="18"/>
    </x:row>
    <x:row r="197">
      <x:c r="C197" s="12"/>
      <x:c r="D197" s="12"/>
      <x:c r="I197" s="18"/>
      <x:c r="J197" s="18"/>
      <x:c r="K197" s="18"/>
      <x:c r="L197" s="18"/>
      <x:c r="M197" s="18"/>
      <x:c r="N197" s="18"/>
      <x:c r="O197" s="18"/>
      <x:c r="P197" s="18"/>
      <x:c r="Q197" s="19"/>
      <x:c r="R197" s="18"/>
      <x:c r="S197" s="18"/>
      <x:c r="T197" s="18"/>
      <x:c r="U197" s="18"/>
      <x:c r="V197" s="19"/>
      <x:c r="W197" s="18"/>
      <x:c r="X197" s="18"/>
      <x:c r="Y197" s="18"/>
      <x:c r="Z197" s="18"/>
    </x:row>
    <x:row r="198">
      <x:c r="C198" s="12"/>
      <x:c r="D198" s="12"/>
      <x:c r="I198" s="18"/>
      <x:c r="J198" s="18"/>
      <x:c r="K198" s="18"/>
      <x:c r="L198" s="18"/>
      <x:c r="M198" s="18"/>
      <x:c r="N198" s="18"/>
      <x:c r="O198" s="18"/>
      <x:c r="P198" s="18"/>
      <x:c r="Q198" s="19"/>
      <x:c r="R198" s="18"/>
      <x:c r="S198" s="18"/>
      <x:c r="T198" s="18"/>
      <x:c r="U198" s="18"/>
      <x:c r="V198" s="19"/>
      <x:c r="W198" s="18"/>
      <x:c r="X198" s="18"/>
      <x:c r="Y198" s="18"/>
      <x:c r="Z198" s="18"/>
    </x:row>
    <x:row r="199">
      <x:c r="C199" s="12"/>
      <x:c r="D199" s="12"/>
      <x:c r="I199" s="18"/>
      <x:c r="J199" s="18"/>
      <x:c r="K199" s="18"/>
      <x:c r="L199" s="18"/>
      <x:c r="M199" s="18"/>
      <x:c r="N199" s="18"/>
      <x:c r="O199" s="18"/>
      <x:c r="P199" s="18"/>
      <x:c r="Q199" s="19"/>
      <x:c r="R199" s="18"/>
      <x:c r="S199" s="18"/>
      <x:c r="T199" s="18"/>
      <x:c r="U199" s="18"/>
      <x:c r="V199" s="19"/>
      <x:c r="W199" s="18"/>
      <x:c r="X199" s="18"/>
      <x:c r="Y199" s="18"/>
      <x:c r="Z199" s="18"/>
    </x:row>
    <x:row r="200">
      <x:c r="C200" s="12"/>
      <x:c r="D200" s="12"/>
      <x:c r="I200" s="18"/>
      <x:c r="J200" s="18"/>
      <x:c r="K200" s="18"/>
      <x:c r="L200" s="18"/>
      <x:c r="M200" s="18"/>
      <x:c r="N200" s="18"/>
      <x:c r="O200" s="18"/>
      <x:c r="P200" s="18"/>
      <x:c r="Q200" s="19"/>
      <x:c r="R200" s="18"/>
      <x:c r="S200" s="18"/>
      <x:c r="T200" s="18"/>
      <x:c r="U200" s="18"/>
      <x:c r="V200" s="19"/>
      <x:c r="W200" s="18"/>
      <x:c r="X200" s="18"/>
      <x:c r="Y200" s="18"/>
      <x:c r="Z200" s="18"/>
    </x:row>
    <x:row r="201"/>
    <x:row r="202"/>
    <x:row r="203"/>
    <x:row r="204"/>
    <x:row r="205"/>
    <x:row r="206"/>
    <x:row r="207"/>
    <x:row r="208"/>
    <x:row r="209"/>
    <x:row r="210"/>
    <x:row r="211"/>
    <x:row r="212"/>
    <x:row r="213"/>
    <x:row r="214"/>
    <x:row r="215"/>
    <x:row r="216"/>
    <x:row r="217"/>
    <x:row r="218"/>
    <x:row r="219"/>
    <x:row r="220"/>
    <x:row r="221"/>
    <x:row r="222"/>
    <x:row r="223"/>
    <x:row r="224"/>
    <x:row r="225"/>
    <x:row r="226"/>
    <x:row r="227"/>
    <x:row r="228"/>
    <x:row r="229"/>
    <x:row r="230"/>
    <x:row r="231"/>
    <x:row r="232"/>
    <x:row r="233"/>
    <x:row r="234"/>
    <x:row r="235"/>
    <x:row r="236"/>
    <x:row r="237"/>
    <x:row r="238"/>
    <x:row r="239"/>
    <x:row r="240"/>
    <x:row r="241"/>
    <x:row r="242"/>
    <x:row r="243"/>
    <x:row r="244"/>
    <x:row r="245"/>
    <x:row r="246"/>
    <x:row r="247"/>
    <x:row r="248"/>
    <x:row r="249"/>
    <x:row r="250"/>
    <x:row r="251"/>
    <x:row r="252"/>
    <x:row r="253"/>
    <x:row r="254"/>
    <x:row r="255"/>
    <x:row r="256"/>
    <x:row r="257"/>
    <x:row r="258"/>
    <x:row r="259"/>
    <x:row r="260"/>
    <x:row r="261"/>
    <x:row r="262"/>
    <x:row r="263"/>
    <x:row r="264"/>
    <x:row r="265"/>
    <x:row r="266"/>
    <x:row r="267"/>
    <x:row r="268"/>
    <x:row r="269"/>
    <x:row r="270"/>
    <x:row r="271"/>
    <x:row r="272"/>
    <x:row r="273"/>
    <x:row r="274"/>
    <x:row r="275"/>
    <x:row r="276"/>
    <x:row r="277"/>
    <x:row r="278"/>
    <x:row r="279"/>
    <x:row r="280"/>
    <x:row r="281"/>
    <x:row r="282"/>
    <x:row r="283"/>
    <x:row r="284"/>
    <x:row r="285"/>
    <x:row r="286"/>
    <x:row r="287"/>
    <x:row r="288"/>
    <x:row r="289"/>
    <x:row r="290"/>
    <x:row r="291"/>
    <x:row r="292"/>
    <x:row r="293"/>
    <x:row r="294"/>
    <x:row r="295"/>
    <x:row r="296"/>
    <x:row r="297"/>
    <x:row r="298"/>
    <x:row r="299"/>
    <x:row r="300"/>
  </x:sheetData>
  <x:conditionalFormatting sqref="Y2:Y200">
    <x:cfRule type="expression" dxfId="0" priority="1">
      <x:formula>$Y2="SI"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4654c8adfbb415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24" hidden="0" customWidth="1"/>
    <x:col min="4" max="4" width="14" hidden="0" customWidth="1"/>
    <x:col min="5" max="5" width="16" hidden="0" customWidth="1"/>
    <x:col min="6" max="6" width="18" hidden="0" customWidth="1"/>
    <x:col min="7" max="7" width="18" hidden="0" customWidth="1"/>
    <x:col min="8" max="8" width="14" hidden="0" customWidth="1"/>
    <x:col min="9" max="9" width="28" hidden="0" customWidth="1"/>
    <x:col min="10" max="10" width="12" hidden="0" customWidth="1"/>
    <x:col min="11" max="11" width="10" hidden="0" customWidth="1"/>
    <x:col min="12" max="12" width="18" hidden="0" customWidth="1"/>
    <x:col min="13" max="13" width="24" hidden="0" customWidth="1"/>
    <x:col min="14" max="14" width="16" hidden="0" customWidth="1"/>
    <x:col min="15" max="15" width="16" hidden="0" customWidth="1"/>
    <x:col min="16" max="16" width="16" hidden="0" customWidth="1"/>
    <x:col min="17" max="17" width="18" hidden="0" customWidth="1"/>
    <x:col min="18" max="18" width="16" hidden="0" customWidth="1"/>
    <x:col min="19" max="19" width="16" hidden="0" customWidth="1"/>
    <x:col min="20" max="20" width="16" hidden="0" customWidth="1"/>
    <x:col min="21" max="21" width="30" hidden="0" customWidth="1"/>
  </x:cols>
  <x:sheetData>
    <x:row r="1" ht="15" hidden="0" customHeight="1">
      <x:c r="A1" s="6" t="str">
        <x:v>fecha</x:v>
      </x:c>
      <x:c r="B1" s="6" t="str">
        <x:v>cliente_id</x:v>
      </x:c>
      <x:c r="C1" s="6" t="str">
        <x:v>cliente_nombre</x:v>
      </x:c>
      <x:c r="D1" s="6" t="str">
        <x:v>vendedor_codigo</x:v>
      </x:c>
      <x:c r="E1" s="6" t="str">
        <x:v>canal</x:v>
      </x:c>
      <x:c r="F1" s="6" t="str">
        <x:v>segmento_cliente</x:v>
      </x:c>
      <x:c r="G1" s="6" t="str">
        <x:v>categoria</x:v>
      </x:c>
      <x:c r="H1" s="6" t="str">
        <x:v>producto_codigo</x:v>
      </x:c>
      <x:c r="I1" s="6" t="str">
        <x:v>producto_nombre</x:v>
      </x:c>
      <x:c r="J1" s="6" t="str">
        <x:v>cantidad</x:v>
      </x:c>
      <x:c r="K1" s="6" t="str">
        <x:v>unidad</x:v>
      </x:c>
      <x:c r="L1" s="6" t="str">
        <x:v>importe_base_sin_descuento</x:v>
      </x:c>
      <x:c r="M1" s="6" t="str">
        <x:v>accion_id</x:v>
      </x:c>
      <x:c r="N1" s="6" t="str">
        <x:v>descuento_teorico_pct</x:v>
      </x:c>
      <x:c r="O1" s="6" t="str">
        <x:v>beneficio_tipo</x:v>
      </x:c>
      <x:c r="P1" s="6" t="str">
        <x:v>gasto_teorico</x:v>
      </x:c>
      <x:c r="Q1" s="6" t="str">
        <x:v>descuento_aplicado_pct</x:v>
      </x:c>
      <x:c r="R1" s="6" t="str">
        <x:v>gasto_real</x:v>
      </x:c>
      <x:c r="S1" s="6" t="str">
        <x:v>diferencia_gasto</x:v>
      </x:c>
      <x:c r="T1" s="6" t="str">
        <x:v>estado_control</x:v>
      </x:c>
      <x:c r="U1" s="6" t="str">
        <x:v>observacion</x:v>
      </x:c>
    </x:row>
    <x:row r="2" ht="15" hidden="0" customHeight="1">
      <x:c r="A2" s="22"/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23"/>
      <x:c r="M2" s="18"/>
      <x:c r="N2" s="19" t="n">
        <x:f>IFERROR(XLOOKUP(M2,'01_REGLAS_ACCIONES'!$A:$A,'01_REGLAS_ACCIONES'!$Q:$Q,0),0)</x:f>
        <x:v>0</x:v>
      </x:c>
      <x:c r="O2" s="18" t="str">
        <x:f>IFERROR(XLOOKUP(M2,'01_REGLAS_ACCIONES'!$A:$A,'01_REGLAS_ACCIONES'!$P:$P,"SIN_ACCION"),"SIN_ACCION")</x:f>
        <x:v>SIN_ACCION</x:v>
      </x:c>
      <x:c r="P2" s="23" t="n">
        <x:f>IF(O2="DESCUENTO",L2*N2,0)</x:f>
        <x:v>0</x:v>
      </x:c>
      <x:c r="Q2" s="19"/>
      <x:c r="R2" s="23" t="n">
        <x:f>L2*Q2</x:f>
        <x:v>0</x:v>
      </x:c>
      <x:c r="S2" s="23" t="n">
        <x:f>R2-P2</x:f>
        <x:v>0</x:v>
      </x:c>
      <x:c r="T2" s="18" t="str">
        <x:f>IF(M2="","SIN_ACCION",IF(ABS(S2)&lt;1,"OK",IF(S2&gt;0,"EXCESO_GASTO","MENOR_GASTO")))</x:f>
        <x:v>SIN_ACCION</x:v>
      </x:c>
      <x:c r="U2" s="18"/>
    </x:row>
    <x:row r="3" ht="15" hidden="0" customHeight="1">
      <x:c r="A3" s="22"/>
      <x:c r="B3" s="18"/>
      <x:c r="C3" s="18"/>
      <x:c r="D3" s="18"/>
      <x:c r="E3" s="18"/>
      <x:c r="F3" s="18"/>
      <x:c r="G3" s="18"/>
      <x:c r="H3" s="18"/>
      <x:c r="I3" s="18"/>
      <x:c r="J3" s="18"/>
      <x:c r="K3" s="18"/>
      <x:c r="L3" s="23"/>
      <x:c r="M3" s="18"/>
      <x:c r="N3" s="19" t="n">
        <x:f>IFERROR(XLOOKUP(M3,'01_REGLAS_ACCIONES'!$A:$A,'01_REGLAS_ACCIONES'!$Q:$Q,0),0)</x:f>
        <x:v>0</x:v>
      </x:c>
      <x:c r="O3" s="18" t="str">
        <x:f>IFERROR(XLOOKUP(M3,'01_REGLAS_ACCIONES'!$A:$A,'01_REGLAS_ACCIONES'!$P:$P,"SIN_ACCION"),"SIN_ACCION")</x:f>
        <x:v>SIN_ACCION</x:v>
      </x:c>
      <x:c r="P3" s="23" t="n">
        <x:f>IF(O3="DESCUENTO",L3*N3,0)</x:f>
        <x:v>0</x:v>
      </x:c>
      <x:c r="Q3" s="19"/>
      <x:c r="R3" s="23" t="n">
        <x:f>L3*Q3</x:f>
        <x:v>0</x:v>
      </x:c>
      <x:c r="S3" s="23" t="n">
        <x:f>R3-P3</x:f>
        <x:v>0</x:v>
      </x:c>
      <x:c r="T3" s="18" t="str">
        <x:f>IF(M3="","SIN_ACCION",IF(ABS(S3)&lt;1,"OK",IF(S3&gt;0,"EXCESO_GASTO","MENOR_GASTO")))</x:f>
        <x:v>SIN_ACCION</x:v>
      </x:c>
      <x:c r="U3" s="18"/>
    </x:row>
    <x:row r="4" ht="15" hidden="0" customHeight="1">
      <x:c r="A4" s="22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23"/>
      <x:c r="M4" s="18"/>
      <x:c r="N4" s="19" t="n">
        <x:f>IFERROR(XLOOKUP(M4,'01_REGLAS_ACCIONES'!$A:$A,'01_REGLAS_ACCIONES'!$Q:$Q,0),0)</x:f>
        <x:v>0</x:v>
      </x:c>
      <x:c r="O4" s="18" t="str">
        <x:f>IFERROR(XLOOKUP(M4,'01_REGLAS_ACCIONES'!$A:$A,'01_REGLAS_ACCIONES'!$P:$P,"SIN_ACCION"),"SIN_ACCION")</x:f>
        <x:v>SIN_ACCION</x:v>
      </x:c>
      <x:c r="P4" s="23" t="n">
        <x:f>IF(O4="DESCUENTO",L4*N4,0)</x:f>
        <x:v>0</x:v>
      </x:c>
      <x:c r="Q4" s="19"/>
      <x:c r="R4" s="23" t="n">
        <x:f>L4*Q4</x:f>
        <x:v>0</x:v>
      </x:c>
      <x:c r="S4" s="23" t="n">
        <x:f>R4-P4</x:f>
        <x:v>0</x:v>
      </x:c>
      <x:c r="T4" s="18" t="str">
        <x:f>IF(M4="","SIN_ACCION",IF(ABS(S4)&lt;1,"OK",IF(S4&gt;0,"EXCESO_GASTO","MENOR_GASTO")))</x:f>
        <x:v>SIN_ACCION</x:v>
      </x:c>
      <x:c r="U4" s="18"/>
    </x:row>
    <x:row r="5" ht="15" hidden="0" customHeight="1">
      <x:c r="A5" s="22"/>
      <x:c r="B5" s="18"/>
      <x:c r="C5" s="18"/>
      <x:c r="D5" s="18"/>
      <x:c r="E5" s="18"/>
      <x:c r="F5" s="18"/>
      <x:c r="G5" s="18"/>
      <x:c r="H5" s="18"/>
      <x:c r="I5" s="18"/>
      <x:c r="J5" s="18"/>
      <x:c r="K5" s="18"/>
      <x:c r="L5" s="23"/>
      <x:c r="M5" s="18"/>
      <x:c r="N5" s="19" t="n">
        <x:f>IFERROR(XLOOKUP(M5,'01_REGLAS_ACCIONES'!$A:$A,'01_REGLAS_ACCIONES'!$Q:$Q,0),0)</x:f>
        <x:v>0</x:v>
      </x:c>
      <x:c r="O5" s="18" t="str">
        <x:f>IFERROR(XLOOKUP(M5,'01_REGLAS_ACCIONES'!$A:$A,'01_REGLAS_ACCIONES'!$P:$P,"SIN_ACCION"),"SIN_ACCION")</x:f>
        <x:v>SIN_ACCION</x:v>
      </x:c>
      <x:c r="P5" s="23" t="n">
        <x:f>IF(O5="DESCUENTO",L5*N5,0)</x:f>
        <x:v>0</x:v>
      </x:c>
      <x:c r="Q5" s="19"/>
      <x:c r="R5" s="23" t="n">
        <x:f>L5*Q5</x:f>
        <x:v>0</x:v>
      </x:c>
      <x:c r="S5" s="23" t="n">
        <x:f>R5-P5</x:f>
        <x:v>0</x:v>
      </x:c>
      <x:c r="T5" s="18" t="str">
        <x:f>IF(M5="","SIN_ACCION",IF(ABS(S5)&lt;1,"OK",IF(S5&gt;0,"EXCESO_GASTO","MENOR_GASTO")))</x:f>
        <x:v>SIN_ACCION</x:v>
      </x:c>
      <x:c r="U5" s="18"/>
    </x:row>
    <x:row r="6" ht="15" hidden="0" customHeight="1">
      <x:c r="A6" s="22"/>
      <x:c r="B6" s="18"/>
      <x:c r="C6" s="18"/>
      <x:c r="D6" s="18"/>
      <x:c r="E6" s="18"/>
      <x:c r="F6" s="18"/>
      <x:c r="G6" s="18"/>
      <x:c r="H6" s="18"/>
      <x:c r="I6" s="18"/>
      <x:c r="J6" s="18"/>
      <x:c r="K6" s="18"/>
      <x:c r="L6" s="23"/>
      <x:c r="M6" s="18"/>
      <x:c r="N6" s="19" t="n">
        <x:f>IFERROR(XLOOKUP(M6,'01_REGLAS_ACCIONES'!$A:$A,'01_REGLAS_ACCIONES'!$Q:$Q,0),0)</x:f>
        <x:v>0</x:v>
      </x:c>
      <x:c r="O6" s="18" t="str">
        <x:f>IFERROR(XLOOKUP(M6,'01_REGLAS_ACCIONES'!$A:$A,'01_REGLAS_ACCIONES'!$P:$P,"SIN_ACCION"),"SIN_ACCION")</x:f>
        <x:v>SIN_ACCION</x:v>
      </x:c>
      <x:c r="P6" s="23" t="n">
        <x:f>IF(O6="DESCUENTO",L6*N6,0)</x:f>
        <x:v>0</x:v>
      </x:c>
      <x:c r="Q6" s="19"/>
      <x:c r="R6" s="23" t="n">
        <x:f>L6*Q6</x:f>
        <x:v>0</x:v>
      </x:c>
      <x:c r="S6" s="23" t="n">
        <x:f>R6-P6</x:f>
        <x:v>0</x:v>
      </x:c>
      <x:c r="T6" s="18" t="str">
        <x:f>IF(M6="","SIN_ACCION",IF(ABS(S6)&lt;1,"OK",IF(S6&gt;0,"EXCESO_GASTO","MENOR_GASTO")))</x:f>
        <x:v>SIN_ACCION</x:v>
      </x:c>
      <x:c r="U6" s="18"/>
    </x:row>
    <x:row r="7" ht="15" hidden="0" customHeight="1">
      <x:c r="A7" s="22"/>
      <x:c r="B7" s="18"/>
      <x:c r="C7" s="18"/>
      <x:c r="D7" s="18"/>
      <x:c r="E7" s="18"/>
      <x:c r="F7" s="18"/>
      <x:c r="G7" s="18"/>
      <x:c r="H7" s="18"/>
      <x:c r="I7" s="18"/>
      <x:c r="J7" s="18"/>
      <x:c r="K7" s="18"/>
      <x:c r="L7" s="23"/>
      <x:c r="M7" s="18"/>
      <x:c r="N7" s="19" t="n">
        <x:f>IFERROR(XLOOKUP(M7,'01_REGLAS_ACCIONES'!$A:$A,'01_REGLAS_ACCIONES'!$Q:$Q,0),0)</x:f>
        <x:v>0</x:v>
      </x:c>
      <x:c r="O7" s="18" t="str">
        <x:f>IFERROR(XLOOKUP(M7,'01_REGLAS_ACCIONES'!$A:$A,'01_REGLAS_ACCIONES'!$P:$P,"SIN_ACCION"),"SIN_ACCION")</x:f>
        <x:v>SIN_ACCION</x:v>
      </x:c>
      <x:c r="P7" s="23" t="n">
        <x:f>IF(O7="DESCUENTO",L7*N7,0)</x:f>
        <x:v>0</x:v>
      </x:c>
      <x:c r="Q7" s="19"/>
      <x:c r="R7" s="23" t="n">
        <x:f>L7*Q7</x:f>
        <x:v>0</x:v>
      </x:c>
      <x:c r="S7" s="23" t="n">
        <x:f>R7-P7</x:f>
        <x:v>0</x:v>
      </x:c>
      <x:c r="T7" s="18" t="str">
        <x:f>IF(M7="","SIN_ACCION",IF(ABS(S7)&lt;1,"OK",IF(S7&gt;0,"EXCESO_GASTO","MENOR_GASTO")))</x:f>
        <x:v>SIN_ACCION</x:v>
      </x:c>
      <x:c r="U7" s="18"/>
    </x:row>
    <x:row r="8" ht="15" hidden="0" customHeight="1">
      <x:c r="A8" s="22"/>
      <x:c r="B8" s="18"/>
      <x:c r="C8" s="18"/>
      <x:c r="D8" s="18"/>
      <x:c r="E8" s="18"/>
      <x:c r="F8" s="18"/>
      <x:c r="G8" s="18"/>
      <x:c r="H8" s="18"/>
      <x:c r="I8" s="18"/>
      <x:c r="J8" s="18"/>
      <x:c r="K8" s="18"/>
      <x:c r="L8" s="23"/>
      <x:c r="M8" s="18"/>
      <x:c r="N8" s="19" t="n">
        <x:f>IFERROR(XLOOKUP(M8,'01_REGLAS_ACCIONES'!$A:$A,'01_REGLAS_ACCIONES'!$Q:$Q,0),0)</x:f>
        <x:v>0</x:v>
      </x:c>
      <x:c r="O8" s="18" t="str">
        <x:f>IFERROR(XLOOKUP(M8,'01_REGLAS_ACCIONES'!$A:$A,'01_REGLAS_ACCIONES'!$P:$P,"SIN_ACCION"),"SIN_ACCION")</x:f>
        <x:v>SIN_ACCION</x:v>
      </x:c>
      <x:c r="P8" s="23" t="n">
        <x:f>IF(O8="DESCUENTO",L8*N8,0)</x:f>
        <x:v>0</x:v>
      </x:c>
      <x:c r="Q8" s="19"/>
      <x:c r="R8" s="23" t="n">
        <x:f>L8*Q8</x:f>
        <x:v>0</x:v>
      </x:c>
      <x:c r="S8" s="23" t="n">
        <x:f>R8-P8</x:f>
        <x:v>0</x:v>
      </x:c>
      <x:c r="T8" s="18" t="str">
        <x:f>IF(M8="","SIN_ACCION",IF(ABS(S8)&lt;1,"OK",IF(S8&gt;0,"EXCESO_GASTO","MENOR_GASTO")))</x:f>
        <x:v>SIN_ACCION</x:v>
      </x:c>
      <x:c r="U8" s="18"/>
    </x:row>
    <x:row r="9" ht="15" hidden="0" customHeight="1">
      <x:c r="A9" s="22"/>
      <x:c r="B9" s="18"/>
      <x:c r="C9" s="18"/>
      <x:c r="D9" s="18"/>
      <x:c r="E9" s="18"/>
      <x:c r="F9" s="18"/>
      <x:c r="G9" s="18"/>
      <x:c r="H9" s="18"/>
      <x:c r="I9" s="18"/>
      <x:c r="J9" s="18"/>
      <x:c r="K9" s="18"/>
      <x:c r="L9" s="23"/>
      <x:c r="M9" s="18"/>
      <x:c r="N9" s="19" t="n">
        <x:f>IFERROR(XLOOKUP(M9,'01_REGLAS_ACCIONES'!$A:$A,'01_REGLAS_ACCIONES'!$Q:$Q,0),0)</x:f>
        <x:v>0</x:v>
      </x:c>
      <x:c r="O9" s="18" t="str">
        <x:f>IFERROR(XLOOKUP(M9,'01_REGLAS_ACCIONES'!$A:$A,'01_REGLAS_ACCIONES'!$P:$P,"SIN_ACCION"),"SIN_ACCION")</x:f>
        <x:v>SIN_ACCION</x:v>
      </x:c>
      <x:c r="P9" s="23" t="n">
        <x:f>IF(O9="DESCUENTO",L9*N9,0)</x:f>
        <x:v>0</x:v>
      </x:c>
      <x:c r="Q9" s="19"/>
      <x:c r="R9" s="23" t="n">
        <x:f>L9*Q9</x:f>
        <x:v>0</x:v>
      </x:c>
      <x:c r="S9" s="23" t="n">
        <x:f>R9-P9</x:f>
        <x:v>0</x:v>
      </x:c>
      <x:c r="T9" s="18" t="str">
        <x:f>IF(M9="","SIN_ACCION",IF(ABS(S9)&lt;1,"OK",IF(S9&gt;0,"EXCESO_GASTO","MENOR_GASTO")))</x:f>
        <x:v>SIN_ACCION</x:v>
      </x:c>
      <x:c r="U9" s="18"/>
    </x:row>
    <x:row r="10" ht="15" hidden="0" customHeight="1">
      <x:c r="A10" s="22"/>
      <x:c r="B10" s="18"/>
      <x:c r="C10" s="18"/>
      <x:c r="D10" s="18"/>
      <x:c r="E10" s="18"/>
      <x:c r="F10" s="18"/>
      <x:c r="G10" s="18"/>
      <x:c r="H10" s="18"/>
      <x:c r="I10" s="18"/>
      <x:c r="J10" s="18"/>
      <x:c r="K10" s="18"/>
      <x:c r="L10" s="23"/>
      <x:c r="M10" s="18"/>
      <x:c r="N10" s="19" t="n">
        <x:f>IFERROR(XLOOKUP(M10,'01_REGLAS_ACCIONES'!$A:$A,'01_REGLAS_ACCIONES'!$Q:$Q,0),0)</x:f>
        <x:v>0</x:v>
      </x:c>
      <x:c r="O10" s="18" t="str">
        <x:f>IFERROR(XLOOKUP(M10,'01_REGLAS_ACCIONES'!$A:$A,'01_REGLAS_ACCIONES'!$P:$P,"SIN_ACCION"),"SIN_ACCION")</x:f>
        <x:v>SIN_ACCION</x:v>
      </x:c>
      <x:c r="P10" s="23" t="n">
        <x:f>IF(O10="DESCUENTO",L10*N10,0)</x:f>
        <x:v>0</x:v>
      </x:c>
      <x:c r="Q10" s="19"/>
      <x:c r="R10" s="23" t="n">
        <x:f>L10*Q10</x:f>
        <x:v>0</x:v>
      </x:c>
      <x:c r="S10" s="23" t="n">
        <x:f>R10-P10</x:f>
        <x:v>0</x:v>
      </x:c>
      <x:c r="T10" s="18" t="str">
        <x:f>IF(M10="","SIN_ACCION",IF(ABS(S10)&lt;1,"OK",IF(S10&gt;0,"EXCESO_GASTO","MENOR_GASTO")))</x:f>
        <x:v>SIN_ACCION</x:v>
      </x:c>
      <x:c r="U10" s="18"/>
    </x:row>
    <x:row r="11" ht="15" hidden="0" customHeight="1">
      <x:c r="A11" s="22"/>
      <x:c r="B11" s="18"/>
      <x:c r="C11" s="18"/>
      <x:c r="D11" s="18"/>
      <x:c r="E11" s="18"/>
      <x:c r="F11" s="18"/>
      <x:c r="G11" s="18"/>
      <x:c r="H11" s="18"/>
      <x:c r="I11" s="18"/>
      <x:c r="J11" s="18"/>
      <x:c r="K11" s="18"/>
      <x:c r="L11" s="23"/>
      <x:c r="M11" s="18"/>
      <x:c r="N11" s="19" t="n">
        <x:f>IFERROR(XLOOKUP(M11,'01_REGLAS_ACCIONES'!$A:$A,'01_REGLAS_ACCIONES'!$Q:$Q,0),0)</x:f>
        <x:v>0</x:v>
      </x:c>
      <x:c r="O11" s="18" t="str">
        <x:f>IFERROR(XLOOKUP(M11,'01_REGLAS_ACCIONES'!$A:$A,'01_REGLAS_ACCIONES'!$P:$P,"SIN_ACCION"),"SIN_ACCION")</x:f>
        <x:v>SIN_ACCION</x:v>
      </x:c>
      <x:c r="P11" s="23" t="n">
        <x:f>IF(O11="DESCUENTO",L11*N11,0)</x:f>
        <x:v>0</x:v>
      </x:c>
      <x:c r="Q11" s="19"/>
      <x:c r="R11" s="23" t="n">
        <x:f>L11*Q11</x:f>
        <x:v>0</x:v>
      </x:c>
      <x:c r="S11" s="23" t="n">
        <x:f>R11-P11</x:f>
        <x:v>0</x:v>
      </x:c>
      <x:c r="T11" s="18" t="str">
        <x:f>IF(M11="","SIN_ACCION",IF(ABS(S11)&lt;1,"OK",IF(S11&gt;0,"EXCESO_GASTO","MENOR_GASTO")))</x:f>
        <x:v>SIN_ACCION</x:v>
      </x:c>
      <x:c r="U11" s="18"/>
    </x:row>
    <x:row r="12" ht="15" hidden="0" customHeight="1">
      <x:c r="A12" s="22"/>
      <x:c r="B12" s="18"/>
      <x:c r="C12" s="18"/>
      <x:c r="D12" s="18"/>
      <x:c r="E12" s="18"/>
      <x:c r="F12" s="18"/>
      <x:c r="G12" s="18"/>
      <x:c r="H12" s="18"/>
      <x:c r="I12" s="18"/>
      <x:c r="J12" s="18"/>
      <x:c r="K12" s="18"/>
      <x:c r="L12" s="23"/>
      <x:c r="M12" s="18"/>
      <x:c r="N12" s="19" t="n">
        <x:f>IFERROR(XLOOKUP(M12,'01_REGLAS_ACCIONES'!$A:$A,'01_REGLAS_ACCIONES'!$Q:$Q,0),0)</x:f>
        <x:v>0</x:v>
      </x:c>
      <x:c r="O12" s="18" t="str">
        <x:f>IFERROR(XLOOKUP(M12,'01_REGLAS_ACCIONES'!$A:$A,'01_REGLAS_ACCIONES'!$P:$P,"SIN_ACCION"),"SIN_ACCION")</x:f>
        <x:v>SIN_ACCION</x:v>
      </x:c>
      <x:c r="P12" s="23" t="n">
        <x:f>IF(O12="DESCUENTO",L12*N12,0)</x:f>
        <x:v>0</x:v>
      </x:c>
      <x:c r="Q12" s="19"/>
      <x:c r="R12" s="23" t="n">
        <x:f>L12*Q12</x:f>
        <x:v>0</x:v>
      </x:c>
      <x:c r="S12" s="23" t="n">
        <x:f>R12-P12</x:f>
        <x:v>0</x:v>
      </x:c>
      <x:c r="T12" s="18" t="str">
        <x:f>IF(M12="","SIN_ACCION",IF(ABS(S12)&lt;1,"OK",IF(S12&gt;0,"EXCESO_GASTO","MENOR_GASTO")))</x:f>
        <x:v>SIN_ACCION</x:v>
      </x:c>
      <x:c r="U12" s="18"/>
    </x:row>
    <x:row r="13" ht="15" hidden="0" customHeight="1">
      <x:c r="A13" s="22"/>
      <x:c r="B13" s="18"/>
      <x:c r="C13" s="18"/>
      <x:c r="D13" s="18"/>
      <x:c r="E13" s="18"/>
      <x:c r="F13" s="18"/>
      <x:c r="G13" s="18"/>
      <x:c r="H13" s="18"/>
      <x:c r="I13" s="18"/>
      <x:c r="J13" s="18"/>
      <x:c r="K13" s="18"/>
      <x:c r="L13" s="23"/>
      <x:c r="M13" s="18"/>
      <x:c r="N13" s="19" t="n">
        <x:f>IFERROR(XLOOKUP(M13,'01_REGLAS_ACCIONES'!$A:$A,'01_REGLAS_ACCIONES'!$Q:$Q,0),0)</x:f>
        <x:v>0</x:v>
      </x:c>
      <x:c r="O13" s="18" t="str">
        <x:f>IFERROR(XLOOKUP(M13,'01_REGLAS_ACCIONES'!$A:$A,'01_REGLAS_ACCIONES'!$P:$P,"SIN_ACCION"),"SIN_ACCION")</x:f>
        <x:v>SIN_ACCION</x:v>
      </x:c>
      <x:c r="P13" s="23" t="n">
        <x:f>IF(O13="DESCUENTO",L13*N13,0)</x:f>
        <x:v>0</x:v>
      </x:c>
      <x:c r="Q13" s="19"/>
      <x:c r="R13" s="23" t="n">
        <x:f>L13*Q13</x:f>
        <x:v>0</x:v>
      </x:c>
      <x:c r="S13" s="23" t="n">
        <x:f>R13-P13</x:f>
        <x:v>0</x:v>
      </x:c>
      <x:c r="T13" s="18" t="str">
        <x:f>IF(M13="","SIN_ACCION",IF(ABS(S13)&lt;1,"OK",IF(S13&gt;0,"EXCESO_GASTO","MENOR_GASTO")))</x:f>
        <x:v>SIN_ACCION</x:v>
      </x:c>
      <x:c r="U13" s="18"/>
    </x:row>
    <x:row r="14" ht="15" hidden="0" customHeight="1">
      <x:c r="A14" s="22"/>
      <x:c r="B14" s="18"/>
      <x:c r="C14" s="18"/>
      <x:c r="D14" s="18"/>
      <x:c r="E14" s="18"/>
      <x:c r="F14" s="18"/>
      <x:c r="G14" s="18"/>
      <x:c r="H14" s="18"/>
      <x:c r="I14" s="18"/>
      <x:c r="J14" s="18"/>
      <x:c r="K14" s="18"/>
      <x:c r="L14" s="23"/>
      <x:c r="M14" s="18"/>
      <x:c r="N14" s="19" t="n">
        <x:f>IFERROR(XLOOKUP(M14,'01_REGLAS_ACCIONES'!$A:$A,'01_REGLAS_ACCIONES'!$Q:$Q,0),0)</x:f>
        <x:v>0</x:v>
      </x:c>
      <x:c r="O14" s="18" t="str">
        <x:f>IFERROR(XLOOKUP(M14,'01_REGLAS_ACCIONES'!$A:$A,'01_REGLAS_ACCIONES'!$P:$P,"SIN_ACCION"),"SIN_ACCION")</x:f>
        <x:v>SIN_ACCION</x:v>
      </x:c>
      <x:c r="P14" s="23" t="n">
        <x:f>IF(O14="DESCUENTO",L14*N14,0)</x:f>
        <x:v>0</x:v>
      </x:c>
      <x:c r="Q14" s="19"/>
      <x:c r="R14" s="23" t="n">
        <x:f>L14*Q14</x:f>
        <x:v>0</x:v>
      </x:c>
      <x:c r="S14" s="23" t="n">
        <x:f>R14-P14</x:f>
        <x:v>0</x:v>
      </x:c>
      <x:c r="T14" s="18" t="str">
        <x:f>IF(M14="","SIN_ACCION",IF(ABS(S14)&lt;1,"OK",IF(S14&gt;0,"EXCESO_GASTO","MENOR_GASTO")))</x:f>
        <x:v>SIN_ACCION</x:v>
      </x:c>
      <x:c r="U14" s="18"/>
    </x:row>
    <x:row r="15" ht="15" hidden="0" customHeight="1">
      <x:c r="A15" s="22"/>
      <x:c r="B15" s="18"/>
      <x:c r="C15" s="18"/>
      <x:c r="D15" s="18"/>
      <x:c r="E15" s="18"/>
      <x:c r="F15" s="18"/>
      <x:c r="G15" s="18"/>
      <x:c r="H15" s="18"/>
      <x:c r="I15" s="18"/>
      <x:c r="J15" s="18"/>
      <x:c r="K15" s="18"/>
      <x:c r="L15" s="23"/>
      <x:c r="M15" s="18"/>
      <x:c r="N15" s="19" t="n">
        <x:f>IFERROR(XLOOKUP(M15,'01_REGLAS_ACCIONES'!$A:$A,'01_REGLAS_ACCIONES'!$Q:$Q,0),0)</x:f>
        <x:v>0</x:v>
      </x:c>
      <x:c r="O15" s="18" t="str">
        <x:f>IFERROR(XLOOKUP(M15,'01_REGLAS_ACCIONES'!$A:$A,'01_REGLAS_ACCIONES'!$P:$P,"SIN_ACCION"),"SIN_ACCION")</x:f>
        <x:v>SIN_ACCION</x:v>
      </x:c>
      <x:c r="P15" s="23" t="n">
        <x:f>IF(O15="DESCUENTO",L15*N15,0)</x:f>
        <x:v>0</x:v>
      </x:c>
      <x:c r="Q15" s="19"/>
      <x:c r="R15" s="23" t="n">
        <x:f>L15*Q15</x:f>
        <x:v>0</x:v>
      </x:c>
      <x:c r="S15" s="23" t="n">
        <x:f>R15-P15</x:f>
        <x:v>0</x:v>
      </x:c>
      <x:c r="T15" s="18" t="str">
        <x:f>IF(M15="","SIN_ACCION",IF(ABS(S15)&lt;1,"OK",IF(S15&gt;0,"EXCESO_GASTO","MENOR_GASTO")))</x:f>
        <x:v>SIN_ACCION</x:v>
      </x:c>
      <x:c r="U15" s="18"/>
    </x:row>
    <x:row r="16" ht="15" hidden="0" customHeight="1">
      <x:c r="A16" s="22"/>
      <x:c r="B16" s="18"/>
      <x:c r="C16" s="18"/>
      <x:c r="D16" s="18"/>
      <x:c r="E16" s="18"/>
      <x:c r="F16" s="18"/>
      <x:c r="G16" s="18"/>
      <x:c r="H16" s="18"/>
      <x:c r="I16" s="18"/>
      <x:c r="J16" s="18"/>
      <x:c r="K16" s="18"/>
      <x:c r="L16" s="23"/>
      <x:c r="M16" s="18"/>
      <x:c r="N16" s="19" t="n">
        <x:f>IFERROR(XLOOKUP(M16,'01_REGLAS_ACCIONES'!$A:$A,'01_REGLAS_ACCIONES'!$Q:$Q,0),0)</x:f>
        <x:v>0</x:v>
      </x:c>
      <x:c r="O16" s="18" t="str">
        <x:f>IFERROR(XLOOKUP(M16,'01_REGLAS_ACCIONES'!$A:$A,'01_REGLAS_ACCIONES'!$P:$P,"SIN_ACCION"),"SIN_ACCION")</x:f>
        <x:v>SIN_ACCION</x:v>
      </x:c>
      <x:c r="P16" s="23" t="n">
        <x:f>IF(O16="DESCUENTO",L16*N16,0)</x:f>
        <x:v>0</x:v>
      </x:c>
      <x:c r="Q16" s="19"/>
      <x:c r="R16" s="23" t="n">
        <x:f>L16*Q16</x:f>
        <x:v>0</x:v>
      </x:c>
      <x:c r="S16" s="23" t="n">
        <x:f>R16-P16</x:f>
        <x:v>0</x:v>
      </x:c>
      <x:c r="T16" s="18" t="str">
        <x:f>IF(M16="","SIN_ACCION",IF(ABS(S16)&lt;1,"OK",IF(S16&gt;0,"EXCESO_GASTO","MENOR_GASTO")))</x:f>
        <x:v>SIN_ACCION</x:v>
      </x:c>
      <x:c r="U16" s="18"/>
    </x:row>
    <x:row r="17" ht="15" hidden="0" customHeight="1">
      <x:c r="A17" s="22"/>
      <x:c r="B17" s="18"/>
      <x:c r="C17" s="18"/>
      <x:c r="D17" s="18"/>
      <x:c r="E17" s="18"/>
      <x:c r="F17" s="18"/>
      <x:c r="G17" s="18"/>
      <x:c r="H17" s="18"/>
      <x:c r="I17" s="18"/>
      <x:c r="J17" s="18"/>
      <x:c r="K17" s="18"/>
      <x:c r="L17" s="23"/>
      <x:c r="M17" s="18"/>
      <x:c r="N17" s="19" t="n">
        <x:f>IFERROR(XLOOKUP(M17,'01_REGLAS_ACCIONES'!$A:$A,'01_REGLAS_ACCIONES'!$Q:$Q,0),0)</x:f>
        <x:v>0</x:v>
      </x:c>
      <x:c r="O17" s="18" t="str">
        <x:f>IFERROR(XLOOKUP(M17,'01_REGLAS_ACCIONES'!$A:$A,'01_REGLAS_ACCIONES'!$P:$P,"SIN_ACCION"),"SIN_ACCION")</x:f>
        <x:v>SIN_ACCION</x:v>
      </x:c>
      <x:c r="P17" s="23" t="n">
        <x:f>IF(O17="DESCUENTO",L17*N17,0)</x:f>
        <x:v>0</x:v>
      </x:c>
      <x:c r="Q17" s="19"/>
      <x:c r="R17" s="23" t="n">
        <x:f>L17*Q17</x:f>
        <x:v>0</x:v>
      </x:c>
      <x:c r="S17" s="23" t="n">
        <x:f>R17-P17</x:f>
        <x:v>0</x:v>
      </x:c>
      <x:c r="T17" s="18" t="str">
        <x:f>IF(M17="","SIN_ACCION",IF(ABS(S17)&lt;1,"OK",IF(S17&gt;0,"EXCESO_GASTO","MENOR_GASTO")))</x:f>
        <x:v>SIN_ACCION</x:v>
      </x:c>
      <x:c r="U17" s="18"/>
    </x:row>
    <x:row r="18" ht="15" hidden="0" customHeight="1">
      <x:c r="A18" s="22"/>
      <x:c r="B18" s="18"/>
      <x:c r="C18" s="18"/>
      <x:c r="D18" s="18"/>
      <x:c r="E18" s="18"/>
      <x:c r="F18" s="18"/>
      <x:c r="G18" s="18"/>
      <x:c r="H18" s="18"/>
      <x:c r="I18" s="18"/>
      <x:c r="J18" s="18"/>
      <x:c r="K18" s="18"/>
      <x:c r="L18" s="23"/>
      <x:c r="M18" s="18"/>
      <x:c r="N18" s="19" t="n">
        <x:f>IFERROR(XLOOKUP(M18,'01_REGLAS_ACCIONES'!$A:$A,'01_REGLAS_ACCIONES'!$Q:$Q,0),0)</x:f>
        <x:v>0</x:v>
      </x:c>
      <x:c r="O18" s="18" t="str">
        <x:f>IFERROR(XLOOKUP(M18,'01_REGLAS_ACCIONES'!$A:$A,'01_REGLAS_ACCIONES'!$P:$P,"SIN_ACCION"),"SIN_ACCION")</x:f>
        <x:v>SIN_ACCION</x:v>
      </x:c>
      <x:c r="P18" s="23" t="n">
        <x:f>IF(O18="DESCUENTO",L18*N18,0)</x:f>
        <x:v>0</x:v>
      </x:c>
      <x:c r="Q18" s="19"/>
      <x:c r="R18" s="23" t="n">
        <x:f>L18*Q18</x:f>
        <x:v>0</x:v>
      </x:c>
      <x:c r="S18" s="23" t="n">
        <x:f>R18-P18</x:f>
        <x:v>0</x:v>
      </x:c>
      <x:c r="T18" s="18" t="str">
        <x:f>IF(M18="","SIN_ACCION",IF(ABS(S18)&lt;1,"OK",IF(S18&gt;0,"EXCESO_GASTO","MENOR_GASTO")))</x:f>
        <x:v>SIN_ACCION</x:v>
      </x:c>
      <x:c r="U18" s="18"/>
    </x:row>
    <x:row r="19" ht="15" hidden="0" customHeight="1">
      <x:c r="A19" s="22"/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  <x:c r="L19" s="23"/>
      <x:c r="M19" s="18"/>
      <x:c r="N19" s="19" t="n">
        <x:f>IFERROR(XLOOKUP(M19,'01_REGLAS_ACCIONES'!$A:$A,'01_REGLAS_ACCIONES'!$Q:$Q,0),0)</x:f>
        <x:v>0</x:v>
      </x:c>
      <x:c r="O19" s="18" t="str">
        <x:f>IFERROR(XLOOKUP(M19,'01_REGLAS_ACCIONES'!$A:$A,'01_REGLAS_ACCIONES'!$P:$P,"SIN_ACCION"),"SIN_ACCION")</x:f>
        <x:v>SIN_ACCION</x:v>
      </x:c>
      <x:c r="P19" s="23" t="n">
        <x:f>IF(O19="DESCUENTO",L19*N19,0)</x:f>
        <x:v>0</x:v>
      </x:c>
      <x:c r="Q19" s="19"/>
      <x:c r="R19" s="23" t="n">
        <x:f>L19*Q19</x:f>
        <x:v>0</x:v>
      </x:c>
      <x:c r="S19" s="23" t="n">
        <x:f>R19-P19</x:f>
        <x:v>0</x:v>
      </x:c>
      <x:c r="T19" s="18" t="str">
        <x:f>IF(M19="","SIN_ACCION",IF(ABS(S19)&lt;1,"OK",IF(S19&gt;0,"EXCESO_GASTO","MENOR_GASTO")))</x:f>
        <x:v>SIN_ACCION</x:v>
      </x:c>
      <x:c r="U19" s="18"/>
    </x:row>
    <x:row r="20" ht="15" hidden="0" customHeight="1">
      <x:c r="A20" s="22"/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  <x:c r="L20" s="23"/>
      <x:c r="M20" s="18"/>
      <x:c r="N20" s="19" t="n">
        <x:f>IFERROR(XLOOKUP(M20,'01_REGLAS_ACCIONES'!$A:$A,'01_REGLAS_ACCIONES'!$Q:$Q,0),0)</x:f>
        <x:v>0</x:v>
      </x:c>
      <x:c r="O20" s="18" t="str">
        <x:f>IFERROR(XLOOKUP(M20,'01_REGLAS_ACCIONES'!$A:$A,'01_REGLAS_ACCIONES'!$P:$P,"SIN_ACCION"),"SIN_ACCION")</x:f>
        <x:v>SIN_ACCION</x:v>
      </x:c>
      <x:c r="P20" s="23" t="n">
        <x:f>IF(O20="DESCUENTO",L20*N20,0)</x:f>
        <x:v>0</x:v>
      </x:c>
      <x:c r="Q20" s="19"/>
      <x:c r="R20" s="23" t="n">
        <x:f>L20*Q20</x:f>
        <x:v>0</x:v>
      </x:c>
      <x:c r="S20" s="23" t="n">
        <x:f>R20-P20</x:f>
        <x:v>0</x:v>
      </x:c>
      <x:c r="T20" s="18" t="str">
        <x:f>IF(M20="","SIN_ACCION",IF(ABS(S20)&lt;1,"OK",IF(S20&gt;0,"EXCESO_GASTO","MENOR_GASTO")))</x:f>
        <x:v>SIN_ACCION</x:v>
      </x:c>
      <x:c r="U20" s="18"/>
    </x:row>
    <x:row r="21" ht="15" hidden="0" customHeight="1">
      <x:c r="A21" s="22"/>
      <x:c r="B21" s="18"/>
      <x:c r="C21" s="18"/>
      <x:c r="D21" s="18"/>
      <x:c r="E21" s="18"/>
      <x:c r="F21" s="18"/>
      <x:c r="G21" s="18"/>
      <x:c r="H21" s="18"/>
      <x:c r="I21" s="18"/>
      <x:c r="J21" s="18"/>
      <x:c r="K21" s="18"/>
      <x:c r="L21" s="23"/>
      <x:c r="M21" s="18"/>
      <x:c r="N21" s="19" t="n">
        <x:f>IFERROR(XLOOKUP(M21,'01_REGLAS_ACCIONES'!$A:$A,'01_REGLAS_ACCIONES'!$Q:$Q,0),0)</x:f>
        <x:v>0</x:v>
      </x:c>
      <x:c r="O21" s="18" t="str">
        <x:f>IFERROR(XLOOKUP(M21,'01_REGLAS_ACCIONES'!$A:$A,'01_REGLAS_ACCIONES'!$P:$P,"SIN_ACCION"),"SIN_ACCION")</x:f>
        <x:v>SIN_ACCION</x:v>
      </x:c>
      <x:c r="P21" s="23" t="n">
        <x:f>IF(O21="DESCUENTO",L21*N21,0)</x:f>
        <x:v>0</x:v>
      </x:c>
      <x:c r="Q21" s="19"/>
      <x:c r="R21" s="23" t="n">
        <x:f>L21*Q21</x:f>
        <x:v>0</x:v>
      </x:c>
      <x:c r="S21" s="23" t="n">
        <x:f>R21-P21</x:f>
        <x:v>0</x:v>
      </x:c>
      <x:c r="T21" s="18" t="str">
        <x:f>IF(M21="","SIN_ACCION",IF(ABS(S21)&lt;1,"OK",IF(S21&gt;0,"EXCESO_GASTO","MENOR_GASTO")))</x:f>
        <x:v>SIN_ACCION</x:v>
      </x:c>
      <x:c r="U21" s="18"/>
    </x:row>
    <x:row r="22" ht="15" hidden="0" customHeight="1">
      <x:c r="A22" s="22"/>
      <x:c r="B22" s="18"/>
      <x:c r="C22" s="18"/>
      <x:c r="D22" s="18"/>
      <x:c r="E22" s="18"/>
      <x:c r="F22" s="18"/>
      <x:c r="G22" s="18"/>
      <x:c r="H22" s="18"/>
      <x:c r="I22" s="18"/>
      <x:c r="J22" s="18"/>
      <x:c r="K22" s="18"/>
      <x:c r="L22" s="23"/>
      <x:c r="M22" s="18"/>
      <x:c r="N22" s="19" t="n">
        <x:f>IFERROR(XLOOKUP(M22,'01_REGLAS_ACCIONES'!$A:$A,'01_REGLAS_ACCIONES'!$Q:$Q,0),0)</x:f>
        <x:v>0</x:v>
      </x:c>
      <x:c r="O22" s="18" t="str">
        <x:f>IFERROR(XLOOKUP(M22,'01_REGLAS_ACCIONES'!$A:$A,'01_REGLAS_ACCIONES'!$P:$P,"SIN_ACCION"),"SIN_ACCION")</x:f>
        <x:v>SIN_ACCION</x:v>
      </x:c>
      <x:c r="P22" s="23" t="n">
        <x:f>IF(O22="DESCUENTO",L22*N22,0)</x:f>
        <x:v>0</x:v>
      </x:c>
      <x:c r="Q22" s="19"/>
      <x:c r="R22" s="23" t="n">
        <x:f>L22*Q22</x:f>
        <x:v>0</x:v>
      </x:c>
      <x:c r="S22" s="23" t="n">
        <x:f>R22-P22</x:f>
        <x:v>0</x:v>
      </x:c>
      <x:c r="T22" s="18" t="str">
        <x:f>IF(M22="","SIN_ACCION",IF(ABS(S22)&lt;1,"OK",IF(S22&gt;0,"EXCESO_GASTO","MENOR_GASTO")))</x:f>
        <x:v>SIN_ACCION</x:v>
      </x:c>
      <x:c r="U22" s="18"/>
    </x:row>
    <x:row r="23" ht="15" hidden="0" customHeight="1">
      <x:c r="A23" s="22"/>
      <x:c r="B23" s="18"/>
      <x:c r="C23" s="18"/>
      <x:c r="D23" s="18"/>
      <x:c r="E23" s="18"/>
      <x:c r="F23" s="18"/>
      <x:c r="G23" s="18"/>
      <x:c r="H23" s="18"/>
      <x:c r="I23" s="18"/>
      <x:c r="J23" s="18"/>
      <x:c r="K23" s="18"/>
      <x:c r="L23" s="23"/>
      <x:c r="M23" s="18"/>
      <x:c r="N23" s="19" t="n">
        <x:f>IFERROR(XLOOKUP(M23,'01_REGLAS_ACCIONES'!$A:$A,'01_REGLAS_ACCIONES'!$Q:$Q,0),0)</x:f>
        <x:v>0</x:v>
      </x:c>
      <x:c r="O23" s="18" t="str">
        <x:f>IFERROR(XLOOKUP(M23,'01_REGLAS_ACCIONES'!$A:$A,'01_REGLAS_ACCIONES'!$P:$P,"SIN_ACCION"),"SIN_ACCION")</x:f>
        <x:v>SIN_ACCION</x:v>
      </x:c>
      <x:c r="P23" s="23" t="n">
        <x:f>IF(O23="DESCUENTO",L23*N23,0)</x:f>
        <x:v>0</x:v>
      </x:c>
      <x:c r="Q23" s="19"/>
      <x:c r="R23" s="23" t="n">
        <x:f>L23*Q23</x:f>
        <x:v>0</x:v>
      </x:c>
      <x:c r="S23" s="23" t="n">
        <x:f>R23-P23</x:f>
        <x:v>0</x:v>
      </x:c>
      <x:c r="T23" s="18" t="str">
        <x:f>IF(M23="","SIN_ACCION",IF(ABS(S23)&lt;1,"OK",IF(S23&gt;0,"EXCESO_GASTO","MENOR_GASTO")))</x:f>
        <x:v>SIN_ACCION</x:v>
      </x:c>
      <x:c r="U23" s="18"/>
    </x:row>
    <x:row r="24" ht="15" hidden="0" customHeight="1">
      <x:c r="A24" s="22"/>
      <x:c r="B24" s="18"/>
      <x:c r="C24" s="18"/>
      <x:c r="D24" s="18"/>
      <x:c r="E24" s="18"/>
      <x:c r="F24" s="18"/>
      <x:c r="G24" s="18"/>
      <x:c r="H24" s="18"/>
      <x:c r="I24" s="18"/>
      <x:c r="J24" s="18"/>
      <x:c r="K24" s="18"/>
      <x:c r="L24" s="23"/>
      <x:c r="M24" s="18"/>
      <x:c r="N24" s="19" t="n">
        <x:f>IFERROR(XLOOKUP(M24,'01_REGLAS_ACCIONES'!$A:$A,'01_REGLAS_ACCIONES'!$Q:$Q,0),0)</x:f>
        <x:v>0</x:v>
      </x:c>
      <x:c r="O24" s="18" t="str">
        <x:f>IFERROR(XLOOKUP(M24,'01_REGLAS_ACCIONES'!$A:$A,'01_REGLAS_ACCIONES'!$P:$P,"SIN_ACCION"),"SIN_ACCION")</x:f>
        <x:v>SIN_ACCION</x:v>
      </x:c>
      <x:c r="P24" s="23" t="n">
        <x:f>IF(O24="DESCUENTO",L24*N24,0)</x:f>
        <x:v>0</x:v>
      </x:c>
      <x:c r="Q24" s="19"/>
      <x:c r="R24" s="23" t="n">
        <x:f>L24*Q24</x:f>
        <x:v>0</x:v>
      </x:c>
      <x:c r="S24" s="23" t="n">
        <x:f>R24-P24</x:f>
        <x:v>0</x:v>
      </x:c>
      <x:c r="T24" s="18" t="str">
        <x:f>IF(M24="","SIN_ACCION",IF(ABS(S24)&lt;1,"OK",IF(S24&gt;0,"EXCESO_GASTO","MENOR_GASTO")))</x:f>
        <x:v>SIN_ACCION</x:v>
      </x:c>
      <x:c r="U24" s="18"/>
    </x:row>
    <x:row r="25" ht="15" hidden="0" customHeight="1">
      <x:c r="A25" s="22"/>
      <x:c r="B25" s="18"/>
      <x:c r="C25" s="18"/>
      <x:c r="D25" s="18"/>
      <x:c r="E25" s="18"/>
      <x:c r="F25" s="18"/>
      <x:c r="G25" s="18"/>
      <x:c r="H25" s="18"/>
      <x:c r="I25" s="18"/>
      <x:c r="J25" s="18"/>
      <x:c r="K25" s="18"/>
      <x:c r="L25" s="23"/>
      <x:c r="M25" s="18"/>
      <x:c r="N25" s="19" t="n">
        <x:f>IFERROR(XLOOKUP(M25,'01_REGLAS_ACCIONES'!$A:$A,'01_REGLAS_ACCIONES'!$Q:$Q,0),0)</x:f>
        <x:v>0</x:v>
      </x:c>
      <x:c r="O25" s="18" t="str">
        <x:f>IFERROR(XLOOKUP(M25,'01_REGLAS_ACCIONES'!$A:$A,'01_REGLAS_ACCIONES'!$P:$P,"SIN_ACCION"),"SIN_ACCION")</x:f>
        <x:v>SIN_ACCION</x:v>
      </x:c>
      <x:c r="P25" s="23" t="n">
        <x:f>IF(O25="DESCUENTO",L25*N25,0)</x:f>
        <x:v>0</x:v>
      </x:c>
      <x:c r="Q25" s="19"/>
      <x:c r="R25" s="23" t="n">
        <x:f>L25*Q25</x:f>
        <x:v>0</x:v>
      </x:c>
      <x:c r="S25" s="23" t="n">
        <x:f>R25-P25</x:f>
        <x:v>0</x:v>
      </x:c>
      <x:c r="T25" s="18" t="str">
        <x:f>IF(M25="","SIN_ACCION",IF(ABS(S25)&lt;1,"OK",IF(S25&gt;0,"EXCESO_GASTO","MENOR_GASTO")))</x:f>
        <x:v>SIN_ACCION</x:v>
      </x:c>
      <x:c r="U25" s="18"/>
    </x:row>
    <x:row r="26" ht="15" hidden="0" customHeight="1">
      <x:c r="A26" s="22"/>
      <x:c r="B26" s="18"/>
      <x:c r="C26" s="18"/>
      <x:c r="D26" s="18"/>
      <x:c r="E26" s="18"/>
      <x:c r="F26" s="18"/>
      <x:c r="G26" s="18"/>
      <x:c r="H26" s="18"/>
      <x:c r="I26" s="18"/>
      <x:c r="J26" s="18"/>
      <x:c r="K26" s="18"/>
      <x:c r="L26" s="23"/>
      <x:c r="M26" s="18"/>
      <x:c r="N26" s="19" t="n">
        <x:f>IFERROR(XLOOKUP(M26,'01_REGLAS_ACCIONES'!$A:$A,'01_REGLAS_ACCIONES'!$Q:$Q,0),0)</x:f>
        <x:v>0</x:v>
      </x:c>
      <x:c r="O26" s="18" t="str">
        <x:f>IFERROR(XLOOKUP(M26,'01_REGLAS_ACCIONES'!$A:$A,'01_REGLAS_ACCIONES'!$P:$P,"SIN_ACCION"),"SIN_ACCION")</x:f>
        <x:v>SIN_ACCION</x:v>
      </x:c>
      <x:c r="P26" s="23" t="n">
        <x:f>IF(O26="DESCUENTO",L26*N26,0)</x:f>
        <x:v>0</x:v>
      </x:c>
      <x:c r="Q26" s="19"/>
      <x:c r="R26" s="23" t="n">
        <x:f>L26*Q26</x:f>
        <x:v>0</x:v>
      </x:c>
      <x:c r="S26" s="23" t="n">
        <x:f>R26-P26</x:f>
        <x:v>0</x:v>
      </x:c>
      <x:c r="T26" s="18" t="str">
        <x:f>IF(M26="","SIN_ACCION",IF(ABS(S26)&lt;1,"OK",IF(S26&gt;0,"EXCESO_GASTO","MENOR_GASTO")))</x:f>
        <x:v>SIN_ACCION</x:v>
      </x:c>
      <x:c r="U26" s="18"/>
    </x:row>
    <x:row r="27" ht="15" hidden="0" customHeight="1">
      <x:c r="A27" s="22"/>
      <x:c r="B27" s="18"/>
      <x:c r="C27" s="18"/>
      <x:c r="D27" s="18"/>
      <x:c r="E27" s="18"/>
      <x:c r="F27" s="18"/>
      <x:c r="G27" s="18"/>
      <x:c r="H27" s="18"/>
      <x:c r="I27" s="18"/>
      <x:c r="J27" s="18"/>
      <x:c r="K27" s="18"/>
      <x:c r="L27" s="23"/>
      <x:c r="M27" s="18"/>
      <x:c r="N27" s="19" t="n">
        <x:f>IFERROR(XLOOKUP(M27,'01_REGLAS_ACCIONES'!$A:$A,'01_REGLAS_ACCIONES'!$Q:$Q,0),0)</x:f>
        <x:v>0</x:v>
      </x:c>
      <x:c r="O27" s="18" t="str">
        <x:f>IFERROR(XLOOKUP(M27,'01_REGLAS_ACCIONES'!$A:$A,'01_REGLAS_ACCIONES'!$P:$P,"SIN_ACCION"),"SIN_ACCION")</x:f>
        <x:v>SIN_ACCION</x:v>
      </x:c>
      <x:c r="P27" s="23" t="n">
        <x:f>IF(O27="DESCUENTO",L27*N27,0)</x:f>
        <x:v>0</x:v>
      </x:c>
      <x:c r="Q27" s="19"/>
      <x:c r="R27" s="23" t="n">
        <x:f>L27*Q27</x:f>
        <x:v>0</x:v>
      </x:c>
      <x:c r="S27" s="23" t="n">
        <x:f>R27-P27</x:f>
        <x:v>0</x:v>
      </x:c>
      <x:c r="T27" s="18" t="str">
        <x:f>IF(M27="","SIN_ACCION",IF(ABS(S27)&lt;1,"OK",IF(S27&gt;0,"EXCESO_GASTO","MENOR_GASTO")))</x:f>
        <x:v>SIN_ACCION</x:v>
      </x:c>
      <x:c r="U27" s="18"/>
    </x:row>
    <x:row r="28" ht="15" hidden="0" customHeight="1">
      <x:c r="A28" s="22"/>
      <x:c r="B28" s="18"/>
      <x:c r="C28" s="18"/>
      <x:c r="D28" s="18"/>
      <x:c r="E28" s="18"/>
      <x:c r="F28" s="18"/>
      <x:c r="G28" s="18"/>
      <x:c r="H28" s="18"/>
      <x:c r="I28" s="18"/>
      <x:c r="J28" s="18"/>
      <x:c r="K28" s="18"/>
      <x:c r="L28" s="23"/>
      <x:c r="M28" s="18"/>
      <x:c r="N28" s="19" t="n">
        <x:f>IFERROR(XLOOKUP(M28,'01_REGLAS_ACCIONES'!$A:$A,'01_REGLAS_ACCIONES'!$Q:$Q,0),0)</x:f>
        <x:v>0</x:v>
      </x:c>
      <x:c r="O28" s="18" t="str">
        <x:f>IFERROR(XLOOKUP(M28,'01_REGLAS_ACCIONES'!$A:$A,'01_REGLAS_ACCIONES'!$P:$P,"SIN_ACCION"),"SIN_ACCION")</x:f>
        <x:v>SIN_ACCION</x:v>
      </x:c>
      <x:c r="P28" s="23" t="n">
        <x:f>IF(O28="DESCUENTO",L28*N28,0)</x:f>
        <x:v>0</x:v>
      </x:c>
      <x:c r="Q28" s="19"/>
      <x:c r="R28" s="23" t="n">
        <x:f>L28*Q28</x:f>
        <x:v>0</x:v>
      </x:c>
      <x:c r="S28" s="23" t="n">
        <x:f>R28-P28</x:f>
        <x:v>0</x:v>
      </x:c>
      <x:c r="T28" s="18" t="str">
        <x:f>IF(M28="","SIN_ACCION",IF(ABS(S28)&lt;1,"OK",IF(S28&gt;0,"EXCESO_GASTO","MENOR_GASTO")))</x:f>
        <x:v>SIN_ACCION</x:v>
      </x:c>
      <x:c r="U28" s="18"/>
    </x:row>
    <x:row r="29" ht="15" hidden="0" customHeight="1">
      <x:c r="A29" s="22"/>
      <x:c r="B29" s="18"/>
      <x:c r="C29" s="18"/>
      <x:c r="D29" s="18"/>
      <x:c r="E29" s="18"/>
      <x:c r="F29" s="18"/>
      <x:c r="G29" s="18"/>
      <x:c r="H29" s="18"/>
      <x:c r="I29" s="18"/>
      <x:c r="J29" s="18"/>
      <x:c r="K29" s="18"/>
      <x:c r="L29" s="23"/>
      <x:c r="M29" s="18"/>
      <x:c r="N29" s="19" t="n">
        <x:f>IFERROR(XLOOKUP(M29,'01_REGLAS_ACCIONES'!$A:$A,'01_REGLAS_ACCIONES'!$Q:$Q,0),0)</x:f>
        <x:v>0</x:v>
      </x:c>
      <x:c r="O29" s="18" t="str">
        <x:f>IFERROR(XLOOKUP(M29,'01_REGLAS_ACCIONES'!$A:$A,'01_REGLAS_ACCIONES'!$P:$P,"SIN_ACCION"),"SIN_ACCION")</x:f>
        <x:v>SIN_ACCION</x:v>
      </x:c>
      <x:c r="P29" s="23" t="n">
        <x:f>IF(O29="DESCUENTO",L29*N29,0)</x:f>
        <x:v>0</x:v>
      </x:c>
      <x:c r="Q29" s="19"/>
      <x:c r="R29" s="23" t="n">
        <x:f>L29*Q29</x:f>
        <x:v>0</x:v>
      </x:c>
      <x:c r="S29" s="23" t="n">
        <x:f>R29-P29</x:f>
        <x:v>0</x:v>
      </x:c>
      <x:c r="T29" s="18" t="str">
        <x:f>IF(M29="","SIN_ACCION",IF(ABS(S29)&lt;1,"OK",IF(S29&gt;0,"EXCESO_GASTO","MENOR_GASTO")))</x:f>
        <x:v>SIN_ACCION</x:v>
      </x:c>
      <x:c r="U29" s="18"/>
    </x:row>
    <x:row r="30" ht="15" hidden="0" customHeight="1">
      <x:c r="A30" s="22"/>
      <x:c r="B30" s="18"/>
      <x:c r="C30" s="18"/>
      <x:c r="D30" s="18"/>
      <x:c r="E30" s="18"/>
      <x:c r="F30" s="18"/>
      <x:c r="G30" s="18"/>
      <x:c r="H30" s="18"/>
      <x:c r="I30" s="18"/>
      <x:c r="J30" s="18"/>
      <x:c r="K30" s="18"/>
      <x:c r="L30" s="23"/>
      <x:c r="M30" s="18"/>
      <x:c r="N30" s="19" t="n">
        <x:f>IFERROR(XLOOKUP(M30,'01_REGLAS_ACCIONES'!$A:$A,'01_REGLAS_ACCIONES'!$Q:$Q,0),0)</x:f>
        <x:v>0</x:v>
      </x:c>
      <x:c r="O30" s="18" t="str">
        <x:f>IFERROR(XLOOKUP(M30,'01_REGLAS_ACCIONES'!$A:$A,'01_REGLAS_ACCIONES'!$P:$P,"SIN_ACCION"),"SIN_ACCION")</x:f>
        <x:v>SIN_ACCION</x:v>
      </x:c>
      <x:c r="P30" s="23" t="n">
        <x:f>IF(O30="DESCUENTO",L30*N30,0)</x:f>
        <x:v>0</x:v>
      </x:c>
      <x:c r="Q30" s="19"/>
      <x:c r="R30" s="23" t="n">
        <x:f>L30*Q30</x:f>
        <x:v>0</x:v>
      </x:c>
      <x:c r="S30" s="23" t="n">
        <x:f>R30-P30</x:f>
        <x:v>0</x:v>
      </x:c>
      <x:c r="T30" s="18" t="str">
        <x:f>IF(M30="","SIN_ACCION",IF(ABS(S30)&lt;1,"OK",IF(S30&gt;0,"EXCESO_GASTO","MENOR_GASTO")))</x:f>
        <x:v>SIN_ACCION</x:v>
      </x:c>
      <x:c r="U30" s="18"/>
    </x:row>
    <x:row r="31" ht="15" hidden="0" customHeight="1">
      <x:c r="A31" s="22"/>
      <x:c r="B31" s="18"/>
      <x:c r="C31" s="18"/>
      <x:c r="D31" s="18"/>
      <x:c r="E31" s="18"/>
      <x:c r="F31" s="18"/>
      <x:c r="G31" s="18"/>
      <x:c r="H31" s="18"/>
      <x:c r="I31" s="18"/>
      <x:c r="J31" s="18"/>
      <x:c r="K31" s="18"/>
      <x:c r="L31" s="23"/>
      <x:c r="M31" s="18"/>
      <x:c r="N31" s="19" t="n">
        <x:f>IFERROR(XLOOKUP(M31,'01_REGLAS_ACCIONES'!$A:$A,'01_REGLAS_ACCIONES'!$Q:$Q,0),0)</x:f>
        <x:v>0</x:v>
      </x:c>
      <x:c r="O31" s="18" t="str">
        <x:f>IFERROR(XLOOKUP(M31,'01_REGLAS_ACCIONES'!$A:$A,'01_REGLAS_ACCIONES'!$P:$P,"SIN_ACCION"),"SIN_ACCION")</x:f>
        <x:v>SIN_ACCION</x:v>
      </x:c>
      <x:c r="P31" s="23" t="n">
        <x:f>IF(O31="DESCUENTO",L31*N31,0)</x:f>
        <x:v>0</x:v>
      </x:c>
      <x:c r="Q31" s="19"/>
      <x:c r="R31" s="23" t="n">
        <x:f>L31*Q31</x:f>
        <x:v>0</x:v>
      </x:c>
      <x:c r="S31" s="23" t="n">
        <x:f>R31-P31</x:f>
        <x:v>0</x:v>
      </x:c>
      <x:c r="T31" s="18" t="str">
        <x:f>IF(M31="","SIN_ACCION",IF(ABS(S31)&lt;1,"OK",IF(S31&gt;0,"EXCESO_GASTO","MENOR_GASTO")))</x:f>
        <x:v>SIN_ACCION</x:v>
      </x:c>
      <x:c r="U31" s="18"/>
    </x:row>
    <x:row r="32" ht="15" hidden="0" customHeight="1">
      <x:c r="A32" s="22"/>
      <x:c r="B32" s="18"/>
      <x:c r="C32" s="18"/>
      <x:c r="D32" s="18"/>
      <x:c r="E32" s="18"/>
      <x:c r="F32" s="18"/>
      <x:c r="G32" s="18"/>
      <x:c r="H32" s="18"/>
      <x:c r="I32" s="18"/>
      <x:c r="J32" s="18"/>
      <x:c r="K32" s="18"/>
      <x:c r="L32" s="23"/>
      <x:c r="M32" s="18"/>
      <x:c r="N32" s="19" t="n">
        <x:f>IFERROR(XLOOKUP(M32,'01_REGLAS_ACCIONES'!$A:$A,'01_REGLAS_ACCIONES'!$Q:$Q,0),0)</x:f>
        <x:v>0</x:v>
      </x:c>
      <x:c r="O32" s="18" t="str">
        <x:f>IFERROR(XLOOKUP(M32,'01_REGLAS_ACCIONES'!$A:$A,'01_REGLAS_ACCIONES'!$P:$P,"SIN_ACCION"),"SIN_ACCION")</x:f>
        <x:v>SIN_ACCION</x:v>
      </x:c>
      <x:c r="P32" s="23" t="n">
        <x:f>IF(O32="DESCUENTO",L32*N32,0)</x:f>
        <x:v>0</x:v>
      </x:c>
      <x:c r="Q32" s="19"/>
      <x:c r="R32" s="23" t="n">
        <x:f>L32*Q32</x:f>
        <x:v>0</x:v>
      </x:c>
      <x:c r="S32" s="23" t="n">
        <x:f>R32-P32</x:f>
        <x:v>0</x:v>
      </x:c>
      <x:c r="T32" s="18" t="str">
        <x:f>IF(M32="","SIN_ACCION",IF(ABS(S32)&lt;1,"OK",IF(S32&gt;0,"EXCESO_GASTO","MENOR_GASTO")))</x:f>
        <x:v>SIN_ACCION</x:v>
      </x:c>
      <x:c r="U32" s="18"/>
    </x:row>
    <x:row r="33" ht="15" hidden="0" customHeight="1">
      <x:c r="A33" s="22"/>
      <x:c r="B33" s="18"/>
      <x:c r="C33" s="18"/>
      <x:c r="D33" s="18"/>
      <x:c r="E33" s="18"/>
      <x:c r="F33" s="18"/>
      <x:c r="G33" s="18"/>
      <x:c r="H33" s="18"/>
      <x:c r="I33" s="18"/>
      <x:c r="J33" s="18"/>
      <x:c r="K33" s="18"/>
      <x:c r="L33" s="23"/>
      <x:c r="M33" s="18"/>
      <x:c r="N33" s="19" t="n">
        <x:f>IFERROR(XLOOKUP(M33,'01_REGLAS_ACCIONES'!$A:$A,'01_REGLAS_ACCIONES'!$Q:$Q,0),0)</x:f>
        <x:v>0</x:v>
      </x:c>
      <x:c r="O33" s="18" t="str">
        <x:f>IFERROR(XLOOKUP(M33,'01_REGLAS_ACCIONES'!$A:$A,'01_REGLAS_ACCIONES'!$P:$P,"SIN_ACCION"),"SIN_ACCION")</x:f>
        <x:v>SIN_ACCION</x:v>
      </x:c>
      <x:c r="P33" s="23" t="n">
        <x:f>IF(O33="DESCUENTO",L33*N33,0)</x:f>
        <x:v>0</x:v>
      </x:c>
      <x:c r="Q33" s="19"/>
      <x:c r="R33" s="23" t="n">
        <x:f>L33*Q33</x:f>
        <x:v>0</x:v>
      </x:c>
      <x:c r="S33" s="23" t="n">
        <x:f>R33-P33</x:f>
        <x:v>0</x:v>
      </x:c>
      <x:c r="T33" s="18" t="str">
        <x:f>IF(M33="","SIN_ACCION",IF(ABS(S33)&lt;1,"OK",IF(S33&gt;0,"EXCESO_GASTO","MENOR_GASTO")))</x:f>
        <x:v>SIN_ACCION</x:v>
      </x:c>
      <x:c r="U33" s="18"/>
    </x:row>
    <x:row r="34" ht="15" hidden="0" customHeight="1">
      <x:c r="A34" s="22"/>
      <x:c r="B34" s="18"/>
      <x:c r="C34" s="18"/>
      <x:c r="D34" s="18"/>
      <x:c r="E34" s="18"/>
      <x:c r="F34" s="18"/>
      <x:c r="G34" s="18"/>
      <x:c r="H34" s="18"/>
      <x:c r="I34" s="18"/>
      <x:c r="J34" s="18"/>
      <x:c r="K34" s="18"/>
      <x:c r="L34" s="23"/>
      <x:c r="M34" s="18"/>
      <x:c r="N34" s="19" t="n">
        <x:f>IFERROR(XLOOKUP(M34,'01_REGLAS_ACCIONES'!$A:$A,'01_REGLAS_ACCIONES'!$Q:$Q,0),0)</x:f>
        <x:v>0</x:v>
      </x:c>
      <x:c r="O34" s="18" t="str">
        <x:f>IFERROR(XLOOKUP(M34,'01_REGLAS_ACCIONES'!$A:$A,'01_REGLAS_ACCIONES'!$P:$P,"SIN_ACCION"),"SIN_ACCION")</x:f>
        <x:v>SIN_ACCION</x:v>
      </x:c>
      <x:c r="P34" s="23" t="n">
        <x:f>IF(O34="DESCUENTO",L34*N34,0)</x:f>
        <x:v>0</x:v>
      </x:c>
      <x:c r="Q34" s="19"/>
      <x:c r="R34" s="23" t="n">
        <x:f>L34*Q34</x:f>
        <x:v>0</x:v>
      </x:c>
      <x:c r="S34" s="23" t="n">
        <x:f>R34-P34</x:f>
        <x:v>0</x:v>
      </x:c>
      <x:c r="T34" s="18" t="str">
        <x:f>IF(M34="","SIN_ACCION",IF(ABS(S34)&lt;1,"OK",IF(S34&gt;0,"EXCESO_GASTO","MENOR_GASTO")))</x:f>
        <x:v>SIN_ACCION</x:v>
      </x:c>
      <x:c r="U34" s="18"/>
    </x:row>
    <x:row r="35" ht="15" hidden="0" customHeight="1">
      <x:c r="A35" s="22"/>
      <x:c r="B35" s="18"/>
      <x:c r="C35" s="18"/>
      <x:c r="D35" s="18"/>
      <x:c r="E35" s="18"/>
      <x:c r="F35" s="18"/>
      <x:c r="G35" s="18"/>
      <x:c r="H35" s="18"/>
      <x:c r="I35" s="18"/>
      <x:c r="J35" s="18"/>
      <x:c r="K35" s="18"/>
      <x:c r="L35" s="23"/>
      <x:c r="M35" s="18"/>
      <x:c r="N35" s="19" t="n">
        <x:f>IFERROR(XLOOKUP(M35,'01_REGLAS_ACCIONES'!$A:$A,'01_REGLAS_ACCIONES'!$Q:$Q,0),0)</x:f>
        <x:v>0</x:v>
      </x:c>
      <x:c r="O35" s="18" t="str">
        <x:f>IFERROR(XLOOKUP(M35,'01_REGLAS_ACCIONES'!$A:$A,'01_REGLAS_ACCIONES'!$P:$P,"SIN_ACCION"),"SIN_ACCION")</x:f>
        <x:v>SIN_ACCION</x:v>
      </x:c>
      <x:c r="P35" s="23" t="n">
        <x:f>IF(O35="DESCUENTO",L35*N35,0)</x:f>
        <x:v>0</x:v>
      </x:c>
      <x:c r="Q35" s="19"/>
      <x:c r="R35" s="23" t="n">
        <x:f>L35*Q35</x:f>
        <x:v>0</x:v>
      </x:c>
      <x:c r="S35" s="23" t="n">
        <x:f>R35-P35</x:f>
        <x:v>0</x:v>
      </x:c>
      <x:c r="T35" s="18" t="str">
        <x:f>IF(M35="","SIN_ACCION",IF(ABS(S35)&lt;1,"OK",IF(S35&gt;0,"EXCESO_GASTO","MENOR_GASTO")))</x:f>
        <x:v>SIN_ACCION</x:v>
      </x:c>
      <x:c r="U35" s="18"/>
    </x:row>
    <x:row r="36" ht="15" hidden="0" customHeight="1">
      <x:c r="A36" s="22"/>
      <x:c r="B36" s="18"/>
      <x:c r="C36" s="18"/>
      <x:c r="D36" s="18"/>
      <x:c r="E36" s="18"/>
      <x:c r="F36" s="18"/>
      <x:c r="G36" s="18"/>
      <x:c r="H36" s="18"/>
      <x:c r="I36" s="18"/>
      <x:c r="J36" s="18"/>
      <x:c r="K36" s="18"/>
      <x:c r="L36" s="23"/>
      <x:c r="M36" s="18"/>
      <x:c r="N36" s="19" t="n">
        <x:f>IFERROR(XLOOKUP(M36,'01_REGLAS_ACCIONES'!$A:$A,'01_REGLAS_ACCIONES'!$Q:$Q,0),0)</x:f>
        <x:v>0</x:v>
      </x:c>
      <x:c r="O36" s="18" t="str">
        <x:f>IFERROR(XLOOKUP(M36,'01_REGLAS_ACCIONES'!$A:$A,'01_REGLAS_ACCIONES'!$P:$P,"SIN_ACCION"),"SIN_ACCION")</x:f>
        <x:v>SIN_ACCION</x:v>
      </x:c>
      <x:c r="P36" s="23" t="n">
        <x:f>IF(O36="DESCUENTO",L36*N36,0)</x:f>
        <x:v>0</x:v>
      </x:c>
      <x:c r="Q36" s="19"/>
      <x:c r="R36" s="23" t="n">
        <x:f>L36*Q36</x:f>
        <x:v>0</x:v>
      </x:c>
      <x:c r="S36" s="23" t="n">
        <x:f>R36-P36</x:f>
        <x:v>0</x:v>
      </x:c>
      <x:c r="T36" s="18" t="str">
        <x:f>IF(M36="","SIN_ACCION",IF(ABS(S36)&lt;1,"OK",IF(S36&gt;0,"EXCESO_GASTO","MENOR_GASTO")))</x:f>
        <x:v>SIN_ACCION</x:v>
      </x:c>
      <x:c r="U36" s="18"/>
    </x:row>
    <x:row r="37" ht="15" hidden="0" customHeight="1">
      <x:c r="A37" s="22"/>
      <x:c r="B37" s="18"/>
      <x:c r="C37" s="18"/>
      <x:c r="D37" s="18"/>
      <x:c r="E37" s="18"/>
      <x:c r="F37" s="18"/>
      <x:c r="G37" s="18"/>
      <x:c r="H37" s="18"/>
      <x:c r="I37" s="18"/>
      <x:c r="J37" s="18"/>
      <x:c r="K37" s="18"/>
      <x:c r="L37" s="23"/>
      <x:c r="M37" s="18"/>
      <x:c r="N37" s="19" t="n">
        <x:f>IFERROR(XLOOKUP(M37,'01_REGLAS_ACCIONES'!$A:$A,'01_REGLAS_ACCIONES'!$Q:$Q,0),0)</x:f>
        <x:v>0</x:v>
      </x:c>
      <x:c r="O37" s="18" t="str">
        <x:f>IFERROR(XLOOKUP(M37,'01_REGLAS_ACCIONES'!$A:$A,'01_REGLAS_ACCIONES'!$P:$P,"SIN_ACCION"),"SIN_ACCION")</x:f>
        <x:v>SIN_ACCION</x:v>
      </x:c>
      <x:c r="P37" s="23" t="n">
        <x:f>IF(O37="DESCUENTO",L37*N37,0)</x:f>
        <x:v>0</x:v>
      </x:c>
      <x:c r="Q37" s="19"/>
      <x:c r="R37" s="23" t="n">
        <x:f>L37*Q37</x:f>
        <x:v>0</x:v>
      </x:c>
      <x:c r="S37" s="23" t="n">
        <x:f>R37-P37</x:f>
        <x:v>0</x:v>
      </x:c>
      <x:c r="T37" s="18" t="str">
        <x:f>IF(M37="","SIN_ACCION",IF(ABS(S37)&lt;1,"OK",IF(S37&gt;0,"EXCESO_GASTO","MENOR_GASTO")))</x:f>
        <x:v>SIN_ACCION</x:v>
      </x:c>
      <x:c r="U37" s="18"/>
    </x:row>
    <x:row r="38" ht="15" hidden="0" customHeight="1">
      <x:c r="A38" s="22"/>
      <x:c r="B38" s="18"/>
      <x:c r="C38" s="18"/>
      <x:c r="D38" s="18"/>
      <x:c r="E38" s="18"/>
      <x:c r="F38" s="18"/>
      <x:c r="G38" s="18"/>
      <x:c r="H38" s="18"/>
      <x:c r="I38" s="18"/>
      <x:c r="J38" s="18"/>
      <x:c r="K38" s="18"/>
      <x:c r="L38" s="23"/>
      <x:c r="M38" s="18"/>
      <x:c r="N38" s="19" t="n">
        <x:f>IFERROR(XLOOKUP(M38,'01_REGLAS_ACCIONES'!$A:$A,'01_REGLAS_ACCIONES'!$Q:$Q,0),0)</x:f>
        <x:v>0</x:v>
      </x:c>
      <x:c r="O38" s="18" t="str">
        <x:f>IFERROR(XLOOKUP(M38,'01_REGLAS_ACCIONES'!$A:$A,'01_REGLAS_ACCIONES'!$P:$P,"SIN_ACCION"),"SIN_ACCION")</x:f>
        <x:v>SIN_ACCION</x:v>
      </x:c>
      <x:c r="P38" s="23" t="n">
        <x:f>IF(O38="DESCUENTO",L38*N38,0)</x:f>
        <x:v>0</x:v>
      </x:c>
      <x:c r="Q38" s="19"/>
      <x:c r="R38" s="23" t="n">
        <x:f>L38*Q38</x:f>
        <x:v>0</x:v>
      </x:c>
      <x:c r="S38" s="23" t="n">
        <x:f>R38-P38</x:f>
        <x:v>0</x:v>
      </x:c>
      <x:c r="T38" s="18" t="str">
        <x:f>IF(M38="","SIN_ACCION",IF(ABS(S38)&lt;1,"OK",IF(S38&gt;0,"EXCESO_GASTO","MENOR_GASTO")))</x:f>
        <x:v>SIN_ACCION</x:v>
      </x:c>
      <x:c r="U38" s="18"/>
    </x:row>
    <x:row r="39" ht="15" hidden="0" customHeight="1">
      <x:c r="A39" s="22"/>
      <x:c r="B39" s="18"/>
      <x:c r="C39" s="18"/>
      <x:c r="D39" s="18"/>
      <x:c r="E39" s="18"/>
      <x:c r="F39" s="18"/>
      <x:c r="G39" s="18"/>
      <x:c r="H39" s="18"/>
      <x:c r="I39" s="18"/>
      <x:c r="J39" s="18"/>
      <x:c r="K39" s="18"/>
      <x:c r="L39" s="23"/>
      <x:c r="M39" s="18"/>
      <x:c r="N39" s="19" t="n">
        <x:f>IFERROR(XLOOKUP(M39,'01_REGLAS_ACCIONES'!$A:$A,'01_REGLAS_ACCIONES'!$Q:$Q,0),0)</x:f>
        <x:v>0</x:v>
      </x:c>
      <x:c r="O39" s="18" t="str">
        <x:f>IFERROR(XLOOKUP(M39,'01_REGLAS_ACCIONES'!$A:$A,'01_REGLAS_ACCIONES'!$P:$P,"SIN_ACCION"),"SIN_ACCION")</x:f>
        <x:v>SIN_ACCION</x:v>
      </x:c>
      <x:c r="P39" s="23" t="n">
        <x:f>IF(O39="DESCUENTO",L39*N39,0)</x:f>
        <x:v>0</x:v>
      </x:c>
      <x:c r="Q39" s="19"/>
      <x:c r="R39" s="23" t="n">
        <x:f>L39*Q39</x:f>
        <x:v>0</x:v>
      </x:c>
      <x:c r="S39" s="23" t="n">
        <x:f>R39-P39</x:f>
        <x:v>0</x:v>
      </x:c>
      <x:c r="T39" s="18" t="str">
        <x:f>IF(M39="","SIN_ACCION",IF(ABS(S39)&lt;1,"OK",IF(S39&gt;0,"EXCESO_GASTO","MENOR_GASTO")))</x:f>
        <x:v>SIN_ACCION</x:v>
      </x:c>
      <x:c r="U39" s="18"/>
    </x:row>
    <x:row r="40" ht="15" hidden="0" customHeight="1">
      <x:c r="A40" s="22"/>
      <x:c r="B40" s="18"/>
      <x:c r="C40" s="18"/>
      <x:c r="D40" s="18"/>
      <x:c r="E40" s="18"/>
      <x:c r="F40" s="18"/>
      <x:c r="G40" s="18"/>
      <x:c r="H40" s="18"/>
      <x:c r="I40" s="18"/>
      <x:c r="J40" s="18"/>
      <x:c r="K40" s="18"/>
      <x:c r="L40" s="23"/>
      <x:c r="M40" s="18"/>
      <x:c r="N40" s="19" t="n">
        <x:f>IFERROR(XLOOKUP(M40,'01_REGLAS_ACCIONES'!$A:$A,'01_REGLAS_ACCIONES'!$Q:$Q,0),0)</x:f>
        <x:v>0</x:v>
      </x:c>
      <x:c r="O40" s="18" t="str">
        <x:f>IFERROR(XLOOKUP(M40,'01_REGLAS_ACCIONES'!$A:$A,'01_REGLAS_ACCIONES'!$P:$P,"SIN_ACCION"),"SIN_ACCION")</x:f>
        <x:v>SIN_ACCION</x:v>
      </x:c>
      <x:c r="P40" s="23" t="n">
        <x:f>IF(O40="DESCUENTO",L40*N40,0)</x:f>
        <x:v>0</x:v>
      </x:c>
      <x:c r="Q40" s="19"/>
      <x:c r="R40" s="23" t="n">
        <x:f>L40*Q40</x:f>
        <x:v>0</x:v>
      </x:c>
      <x:c r="S40" s="23" t="n">
        <x:f>R40-P40</x:f>
        <x:v>0</x:v>
      </x:c>
      <x:c r="T40" s="18" t="str">
        <x:f>IF(M40="","SIN_ACCION",IF(ABS(S40)&lt;1,"OK",IF(S40&gt;0,"EXCESO_GASTO","MENOR_GASTO")))</x:f>
        <x:v>SIN_ACCION</x:v>
      </x:c>
      <x:c r="U40" s="18"/>
    </x:row>
    <x:row r="41" ht="15" hidden="0" customHeight="1">
      <x:c r="A41" s="22"/>
      <x:c r="B41" s="18"/>
      <x:c r="C41" s="18"/>
      <x:c r="D41" s="18"/>
      <x:c r="E41" s="18"/>
      <x:c r="F41" s="18"/>
      <x:c r="G41" s="18"/>
      <x:c r="H41" s="18"/>
      <x:c r="I41" s="18"/>
      <x:c r="J41" s="18"/>
      <x:c r="K41" s="18"/>
      <x:c r="L41" s="23"/>
      <x:c r="M41" s="18"/>
      <x:c r="N41" s="19" t="n">
        <x:f>IFERROR(XLOOKUP(M41,'01_REGLAS_ACCIONES'!$A:$A,'01_REGLAS_ACCIONES'!$Q:$Q,0),0)</x:f>
        <x:v>0</x:v>
      </x:c>
      <x:c r="O41" s="18" t="str">
        <x:f>IFERROR(XLOOKUP(M41,'01_REGLAS_ACCIONES'!$A:$A,'01_REGLAS_ACCIONES'!$P:$P,"SIN_ACCION"),"SIN_ACCION")</x:f>
        <x:v>SIN_ACCION</x:v>
      </x:c>
      <x:c r="P41" s="23" t="n">
        <x:f>IF(O41="DESCUENTO",L41*N41,0)</x:f>
        <x:v>0</x:v>
      </x:c>
      <x:c r="Q41" s="19"/>
      <x:c r="R41" s="23" t="n">
        <x:f>L41*Q41</x:f>
        <x:v>0</x:v>
      </x:c>
      <x:c r="S41" s="23" t="n">
        <x:f>R41-P41</x:f>
        <x:v>0</x:v>
      </x:c>
      <x:c r="T41" s="18" t="str">
        <x:f>IF(M41="","SIN_ACCION",IF(ABS(S41)&lt;1,"OK",IF(S41&gt;0,"EXCESO_GASTO","MENOR_GASTO")))</x:f>
        <x:v>SIN_ACCION</x:v>
      </x:c>
      <x:c r="U41" s="18"/>
    </x:row>
    <x:row r="42" ht="15" hidden="0" customHeight="1">
      <x:c r="A42" s="22"/>
      <x:c r="B42" s="18"/>
      <x:c r="C42" s="18"/>
      <x:c r="D42" s="18"/>
      <x:c r="E42" s="18"/>
      <x:c r="F42" s="18"/>
      <x:c r="G42" s="18"/>
      <x:c r="H42" s="18"/>
      <x:c r="I42" s="18"/>
      <x:c r="J42" s="18"/>
      <x:c r="K42" s="18"/>
      <x:c r="L42" s="23"/>
      <x:c r="M42" s="18"/>
      <x:c r="N42" s="19" t="n">
        <x:f>IFERROR(XLOOKUP(M42,'01_REGLAS_ACCIONES'!$A:$A,'01_REGLAS_ACCIONES'!$Q:$Q,0),0)</x:f>
        <x:v>0</x:v>
      </x:c>
      <x:c r="O42" s="18" t="str">
        <x:f>IFERROR(XLOOKUP(M42,'01_REGLAS_ACCIONES'!$A:$A,'01_REGLAS_ACCIONES'!$P:$P,"SIN_ACCION"),"SIN_ACCION")</x:f>
        <x:v>SIN_ACCION</x:v>
      </x:c>
      <x:c r="P42" s="23" t="n">
        <x:f>IF(O42="DESCUENTO",L42*N42,0)</x:f>
        <x:v>0</x:v>
      </x:c>
      <x:c r="Q42" s="19"/>
      <x:c r="R42" s="23" t="n">
        <x:f>L42*Q42</x:f>
        <x:v>0</x:v>
      </x:c>
      <x:c r="S42" s="23" t="n">
        <x:f>R42-P42</x:f>
        <x:v>0</x:v>
      </x:c>
      <x:c r="T42" s="18" t="str">
        <x:f>IF(M42="","SIN_ACCION",IF(ABS(S42)&lt;1,"OK",IF(S42&gt;0,"EXCESO_GASTO","MENOR_GASTO")))</x:f>
        <x:v>SIN_ACCION</x:v>
      </x:c>
      <x:c r="U42" s="18"/>
    </x:row>
    <x:row r="43" ht="15" hidden="0" customHeight="1">
      <x:c r="A43" s="22"/>
      <x:c r="B43" s="18"/>
      <x:c r="C43" s="18"/>
      <x:c r="D43" s="18"/>
      <x:c r="E43" s="18"/>
      <x:c r="F43" s="18"/>
      <x:c r="G43" s="18"/>
      <x:c r="H43" s="18"/>
      <x:c r="I43" s="18"/>
      <x:c r="J43" s="18"/>
      <x:c r="K43" s="18"/>
      <x:c r="L43" s="23"/>
      <x:c r="M43" s="18"/>
      <x:c r="N43" s="19" t="n">
        <x:f>IFERROR(XLOOKUP(M43,'01_REGLAS_ACCIONES'!$A:$A,'01_REGLAS_ACCIONES'!$Q:$Q,0),0)</x:f>
        <x:v>0</x:v>
      </x:c>
      <x:c r="O43" s="18" t="str">
        <x:f>IFERROR(XLOOKUP(M43,'01_REGLAS_ACCIONES'!$A:$A,'01_REGLAS_ACCIONES'!$P:$P,"SIN_ACCION"),"SIN_ACCION")</x:f>
        <x:v>SIN_ACCION</x:v>
      </x:c>
      <x:c r="P43" s="23" t="n">
        <x:f>IF(O43="DESCUENTO",L43*N43,0)</x:f>
        <x:v>0</x:v>
      </x:c>
      <x:c r="Q43" s="19"/>
      <x:c r="R43" s="23" t="n">
        <x:f>L43*Q43</x:f>
        <x:v>0</x:v>
      </x:c>
      <x:c r="S43" s="23" t="n">
        <x:f>R43-P43</x:f>
        <x:v>0</x:v>
      </x:c>
      <x:c r="T43" s="18" t="str">
        <x:f>IF(M43="","SIN_ACCION",IF(ABS(S43)&lt;1,"OK",IF(S43&gt;0,"EXCESO_GASTO","MENOR_GASTO")))</x:f>
        <x:v>SIN_ACCION</x:v>
      </x:c>
      <x:c r="U43" s="18"/>
    </x:row>
    <x:row r="44" ht="15" hidden="0" customHeight="1">
      <x:c r="A44" s="22"/>
      <x:c r="B44" s="18"/>
      <x:c r="C44" s="18"/>
      <x:c r="D44" s="18"/>
      <x:c r="E44" s="18"/>
      <x:c r="F44" s="18"/>
      <x:c r="G44" s="18"/>
      <x:c r="H44" s="18"/>
      <x:c r="I44" s="18"/>
      <x:c r="J44" s="18"/>
      <x:c r="K44" s="18"/>
      <x:c r="L44" s="23"/>
      <x:c r="M44" s="18"/>
      <x:c r="N44" s="19" t="n">
        <x:f>IFERROR(XLOOKUP(M44,'01_REGLAS_ACCIONES'!$A:$A,'01_REGLAS_ACCIONES'!$Q:$Q,0),0)</x:f>
        <x:v>0</x:v>
      </x:c>
      <x:c r="O44" s="18" t="str">
        <x:f>IFERROR(XLOOKUP(M44,'01_REGLAS_ACCIONES'!$A:$A,'01_REGLAS_ACCIONES'!$P:$P,"SIN_ACCION"),"SIN_ACCION")</x:f>
        <x:v>SIN_ACCION</x:v>
      </x:c>
      <x:c r="P44" s="23" t="n">
        <x:f>IF(O44="DESCUENTO",L44*N44,0)</x:f>
        <x:v>0</x:v>
      </x:c>
      <x:c r="Q44" s="19"/>
      <x:c r="R44" s="23" t="n">
        <x:f>L44*Q44</x:f>
        <x:v>0</x:v>
      </x:c>
      <x:c r="S44" s="23" t="n">
        <x:f>R44-P44</x:f>
        <x:v>0</x:v>
      </x:c>
      <x:c r="T44" s="18" t="str">
        <x:f>IF(M44="","SIN_ACCION",IF(ABS(S44)&lt;1,"OK",IF(S44&gt;0,"EXCESO_GASTO","MENOR_GASTO")))</x:f>
        <x:v>SIN_ACCION</x:v>
      </x:c>
      <x:c r="U44" s="18"/>
    </x:row>
    <x:row r="45" ht="15" hidden="0" customHeight="1">
      <x:c r="A45" s="22"/>
      <x:c r="B45" s="18"/>
      <x:c r="C45" s="18"/>
      <x:c r="D45" s="18"/>
      <x:c r="E45" s="18"/>
      <x:c r="F45" s="18"/>
      <x:c r="G45" s="18"/>
      <x:c r="H45" s="18"/>
      <x:c r="I45" s="18"/>
      <x:c r="J45" s="18"/>
      <x:c r="K45" s="18"/>
      <x:c r="L45" s="23"/>
      <x:c r="M45" s="18"/>
      <x:c r="N45" s="19" t="n">
        <x:f>IFERROR(XLOOKUP(M45,'01_REGLAS_ACCIONES'!$A:$A,'01_REGLAS_ACCIONES'!$Q:$Q,0),0)</x:f>
        <x:v>0</x:v>
      </x:c>
      <x:c r="O45" s="18" t="str">
        <x:f>IFERROR(XLOOKUP(M45,'01_REGLAS_ACCIONES'!$A:$A,'01_REGLAS_ACCIONES'!$P:$P,"SIN_ACCION"),"SIN_ACCION")</x:f>
        <x:v>SIN_ACCION</x:v>
      </x:c>
      <x:c r="P45" s="23" t="n">
        <x:f>IF(O45="DESCUENTO",L45*N45,0)</x:f>
        <x:v>0</x:v>
      </x:c>
      <x:c r="Q45" s="19"/>
      <x:c r="R45" s="23" t="n">
        <x:f>L45*Q45</x:f>
        <x:v>0</x:v>
      </x:c>
      <x:c r="S45" s="23" t="n">
        <x:f>R45-P45</x:f>
        <x:v>0</x:v>
      </x:c>
      <x:c r="T45" s="18" t="str">
        <x:f>IF(M45="","SIN_ACCION",IF(ABS(S45)&lt;1,"OK",IF(S45&gt;0,"EXCESO_GASTO","MENOR_GASTO")))</x:f>
        <x:v>SIN_ACCION</x:v>
      </x:c>
      <x:c r="U45" s="18"/>
    </x:row>
    <x:row r="46" ht="15" hidden="0" customHeight="1">
      <x:c r="A46" s="22"/>
      <x:c r="B46" s="18"/>
      <x:c r="C46" s="18"/>
      <x:c r="D46" s="18"/>
      <x:c r="E46" s="18"/>
      <x:c r="F46" s="18"/>
      <x:c r="G46" s="18"/>
      <x:c r="H46" s="18"/>
      <x:c r="I46" s="18"/>
      <x:c r="J46" s="18"/>
      <x:c r="K46" s="18"/>
      <x:c r="L46" s="23"/>
      <x:c r="M46" s="18"/>
      <x:c r="N46" s="19" t="n">
        <x:f>IFERROR(XLOOKUP(M46,'01_REGLAS_ACCIONES'!$A:$A,'01_REGLAS_ACCIONES'!$Q:$Q,0),0)</x:f>
        <x:v>0</x:v>
      </x:c>
      <x:c r="O46" s="18" t="str">
        <x:f>IFERROR(XLOOKUP(M46,'01_REGLAS_ACCIONES'!$A:$A,'01_REGLAS_ACCIONES'!$P:$P,"SIN_ACCION"),"SIN_ACCION")</x:f>
        <x:v>SIN_ACCION</x:v>
      </x:c>
      <x:c r="P46" s="23" t="n">
        <x:f>IF(O46="DESCUENTO",L46*N46,0)</x:f>
        <x:v>0</x:v>
      </x:c>
      <x:c r="Q46" s="19"/>
      <x:c r="R46" s="23" t="n">
        <x:f>L46*Q46</x:f>
        <x:v>0</x:v>
      </x:c>
      <x:c r="S46" s="23" t="n">
        <x:f>R46-P46</x:f>
        <x:v>0</x:v>
      </x:c>
      <x:c r="T46" s="18" t="str">
        <x:f>IF(M46="","SIN_ACCION",IF(ABS(S46)&lt;1,"OK",IF(S46&gt;0,"EXCESO_GASTO","MENOR_GASTO")))</x:f>
        <x:v>SIN_ACCION</x:v>
      </x:c>
      <x:c r="U46" s="18"/>
    </x:row>
    <x:row r="47" ht="15" hidden="0" customHeight="1">
      <x:c r="A47" s="22"/>
      <x:c r="B47" s="18"/>
      <x:c r="C47" s="18"/>
      <x:c r="D47" s="18"/>
      <x:c r="E47" s="18"/>
      <x:c r="F47" s="18"/>
      <x:c r="G47" s="18"/>
      <x:c r="H47" s="18"/>
      <x:c r="I47" s="18"/>
      <x:c r="J47" s="18"/>
      <x:c r="K47" s="18"/>
      <x:c r="L47" s="23"/>
      <x:c r="M47" s="18"/>
      <x:c r="N47" s="19" t="n">
        <x:f>IFERROR(XLOOKUP(M47,'01_REGLAS_ACCIONES'!$A:$A,'01_REGLAS_ACCIONES'!$Q:$Q,0),0)</x:f>
        <x:v>0</x:v>
      </x:c>
      <x:c r="O47" s="18" t="str">
        <x:f>IFERROR(XLOOKUP(M47,'01_REGLAS_ACCIONES'!$A:$A,'01_REGLAS_ACCIONES'!$P:$P,"SIN_ACCION"),"SIN_ACCION")</x:f>
        <x:v>SIN_ACCION</x:v>
      </x:c>
      <x:c r="P47" s="23" t="n">
        <x:f>IF(O47="DESCUENTO",L47*N47,0)</x:f>
        <x:v>0</x:v>
      </x:c>
      <x:c r="Q47" s="19"/>
      <x:c r="R47" s="23" t="n">
        <x:f>L47*Q47</x:f>
        <x:v>0</x:v>
      </x:c>
      <x:c r="S47" s="23" t="n">
        <x:f>R47-P47</x:f>
        <x:v>0</x:v>
      </x:c>
      <x:c r="T47" s="18" t="str">
        <x:f>IF(M47="","SIN_ACCION",IF(ABS(S47)&lt;1,"OK",IF(S47&gt;0,"EXCESO_GASTO","MENOR_GASTO")))</x:f>
        <x:v>SIN_ACCION</x:v>
      </x:c>
      <x:c r="U47" s="18"/>
    </x:row>
    <x:row r="48" ht="15" hidden="0" customHeight="1">
      <x:c r="A48" s="22"/>
      <x:c r="B48" s="18"/>
      <x:c r="C48" s="18"/>
      <x:c r="D48" s="18"/>
      <x:c r="E48" s="18"/>
      <x:c r="F48" s="18"/>
      <x:c r="G48" s="18"/>
      <x:c r="H48" s="18"/>
      <x:c r="I48" s="18"/>
      <x:c r="J48" s="18"/>
      <x:c r="K48" s="18"/>
      <x:c r="L48" s="23"/>
      <x:c r="M48" s="18"/>
      <x:c r="N48" s="19" t="n">
        <x:f>IFERROR(XLOOKUP(M48,'01_REGLAS_ACCIONES'!$A:$A,'01_REGLAS_ACCIONES'!$Q:$Q,0),0)</x:f>
        <x:v>0</x:v>
      </x:c>
      <x:c r="O48" s="18" t="str">
        <x:f>IFERROR(XLOOKUP(M48,'01_REGLAS_ACCIONES'!$A:$A,'01_REGLAS_ACCIONES'!$P:$P,"SIN_ACCION"),"SIN_ACCION")</x:f>
        <x:v>SIN_ACCION</x:v>
      </x:c>
      <x:c r="P48" s="23" t="n">
        <x:f>IF(O48="DESCUENTO",L48*N48,0)</x:f>
        <x:v>0</x:v>
      </x:c>
      <x:c r="Q48" s="19"/>
      <x:c r="R48" s="23" t="n">
        <x:f>L48*Q48</x:f>
        <x:v>0</x:v>
      </x:c>
      <x:c r="S48" s="23" t="n">
        <x:f>R48-P48</x:f>
        <x:v>0</x:v>
      </x:c>
      <x:c r="T48" s="18" t="str">
        <x:f>IF(M48="","SIN_ACCION",IF(ABS(S48)&lt;1,"OK",IF(S48&gt;0,"EXCESO_GASTO","MENOR_GASTO")))</x:f>
        <x:v>SIN_ACCION</x:v>
      </x:c>
      <x:c r="U48" s="18"/>
    </x:row>
    <x:row r="49" ht="15" hidden="0" customHeight="1">
      <x:c r="A49" s="22"/>
      <x:c r="B49" s="18"/>
      <x:c r="C49" s="18"/>
      <x:c r="D49" s="18"/>
      <x:c r="E49" s="18"/>
      <x:c r="F49" s="18"/>
      <x:c r="G49" s="18"/>
      <x:c r="H49" s="18"/>
      <x:c r="I49" s="18"/>
      <x:c r="J49" s="18"/>
      <x:c r="K49" s="18"/>
      <x:c r="L49" s="23"/>
      <x:c r="M49" s="18"/>
      <x:c r="N49" s="19" t="n">
        <x:f>IFERROR(XLOOKUP(M49,'01_REGLAS_ACCIONES'!$A:$A,'01_REGLAS_ACCIONES'!$Q:$Q,0),0)</x:f>
        <x:v>0</x:v>
      </x:c>
      <x:c r="O49" s="18" t="str">
        <x:f>IFERROR(XLOOKUP(M49,'01_REGLAS_ACCIONES'!$A:$A,'01_REGLAS_ACCIONES'!$P:$P,"SIN_ACCION"),"SIN_ACCION")</x:f>
        <x:v>SIN_ACCION</x:v>
      </x:c>
      <x:c r="P49" s="23" t="n">
        <x:f>IF(O49="DESCUENTO",L49*N49,0)</x:f>
        <x:v>0</x:v>
      </x:c>
      <x:c r="Q49" s="19"/>
      <x:c r="R49" s="23" t="n">
        <x:f>L49*Q49</x:f>
        <x:v>0</x:v>
      </x:c>
      <x:c r="S49" s="23" t="n">
        <x:f>R49-P49</x:f>
        <x:v>0</x:v>
      </x:c>
      <x:c r="T49" s="18" t="str">
        <x:f>IF(M49="","SIN_ACCION",IF(ABS(S49)&lt;1,"OK",IF(S49&gt;0,"EXCESO_GASTO","MENOR_GASTO")))</x:f>
        <x:v>SIN_ACCION</x:v>
      </x:c>
      <x:c r="U49" s="18"/>
    </x:row>
    <x:row r="50" ht="15" hidden="0" customHeight="1">
      <x:c r="A50" s="22"/>
      <x:c r="B50" s="18"/>
      <x:c r="C50" s="18"/>
      <x:c r="D50" s="18"/>
      <x:c r="E50" s="18"/>
      <x:c r="F50" s="18"/>
      <x:c r="G50" s="18"/>
      <x:c r="H50" s="18"/>
      <x:c r="I50" s="18"/>
      <x:c r="J50" s="18"/>
      <x:c r="K50" s="18"/>
      <x:c r="L50" s="23"/>
      <x:c r="M50" s="18"/>
      <x:c r="N50" s="19" t="n">
        <x:f>IFERROR(XLOOKUP(M50,'01_REGLAS_ACCIONES'!$A:$A,'01_REGLAS_ACCIONES'!$Q:$Q,0),0)</x:f>
        <x:v>0</x:v>
      </x:c>
      <x:c r="O50" s="18" t="str">
        <x:f>IFERROR(XLOOKUP(M50,'01_REGLAS_ACCIONES'!$A:$A,'01_REGLAS_ACCIONES'!$P:$P,"SIN_ACCION"),"SIN_ACCION")</x:f>
        <x:v>SIN_ACCION</x:v>
      </x:c>
      <x:c r="P50" s="23" t="n">
        <x:f>IF(O50="DESCUENTO",L50*N50,0)</x:f>
        <x:v>0</x:v>
      </x:c>
      <x:c r="Q50" s="19"/>
      <x:c r="R50" s="23" t="n">
        <x:f>L50*Q50</x:f>
        <x:v>0</x:v>
      </x:c>
      <x:c r="S50" s="23" t="n">
        <x:f>R50-P50</x:f>
        <x:v>0</x:v>
      </x:c>
      <x:c r="T50" s="18" t="str">
        <x:f>IF(M50="","SIN_ACCION",IF(ABS(S50)&lt;1,"OK",IF(S50&gt;0,"EXCESO_GASTO","MENOR_GASTO")))</x:f>
        <x:v>SIN_ACCION</x:v>
      </x:c>
      <x:c r="U50" s="18"/>
    </x:row>
    <x:row r="51" ht="15" hidden="0" customHeight="1">
      <x:c r="A51" s="22"/>
      <x:c r="B51" s="18"/>
      <x:c r="C51" s="18"/>
      <x:c r="D51" s="18"/>
      <x:c r="E51" s="18"/>
      <x:c r="F51" s="18"/>
      <x:c r="G51" s="18"/>
      <x:c r="H51" s="18"/>
      <x:c r="I51" s="18"/>
      <x:c r="J51" s="18"/>
      <x:c r="K51" s="18"/>
      <x:c r="L51" s="23"/>
      <x:c r="M51" s="18"/>
      <x:c r="N51" s="19" t="n">
        <x:f>IFERROR(XLOOKUP(M51,'01_REGLAS_ACCIONES'!$A:$A,'01_REGLAS_ACCIONES'!$Q:$Q,0),0)</x:f>
        <x:v>0</x:v>
      </x:c>
      <x:c r="O51" s="18" t="str">
        <x:f>IFERROR(XLOOKUP(M51,'01_REGLAS_ACCIONES'!$A:$A,'01_REGLAS_ACCIONES'!$P:$P,"SIN_ACCION"),"SIN_ACCION")</x:f>
        <x:v>SIN_ACCION</x:v>
      </x:c>
      <x:c r="P51" s="23" t="n">
        <x:f>IF(O51="DESCUENTO",L51*N51,0)</x:f>
        <x:v>0</x:v>
      </x:c>
      <x:c r="Q51" s="19"/>
      <x:c r="R51" s="23" t="n">
        <x:f>L51*Q51</x:f>
        <x:v>0</x:v>
      </x:c>
      <x:c r="S51" s="23" t="n">
        <x:f>R51-P51</x:f>
        <x:v>0</x:v>
      </x:c>
      <x:c r="T51" s="18" t="str">
        <x:f>IF(M51="","SIN_ACCION",IF(ABS(S51)&lt;1,"OK",IF(S51&gt;0,"EXCESO_GASTO","MENOR_GASTO")))</x:f>
        <x:v>SIN_ACCION</x:v>
      </x:c>
      <x:c r="U51" s="18"/>
    </x:row>
    <x:row r="52" ht="15" hidden="0" customHeight="1">
      <x:c r="A52" s="22"/>
      <x:c r="B52" s="18"/>
      <x:c r="C52" s="18"/>
      <x:c r="D52" s="18"/>
      <x:c r="E52" s="18"/>
      <x:c r="F52" s="18"/>
      <x:c r="G52" s="18"/>
      <x:c r="H52" s="18"/>
      <x:c r="I52" s="18"/>
      <x:c r="J52" s="18"/>
      <x:c r="K52" s="18"/>
      <x:c r="L52" s="23"/>
      <x:c r="M52" s="18"/>
      <x:c r="N52" s="19" t="n">
        <x:f>IFERROR(XLOOKUP(M52,'01_REGLAS_ACCIONES'!$A:$A,'01_REGLAS_ACCIONES'!$Q:$Q,0),0)</x:f>
        <x:v>0</x:v>
      </x:c>
      <x:c r="O52" s="18" t="str">
        <x:f>IFERROR(XLOOKUP(M52,'01_REGLAS_ACCIONES'!$A:$A,'01_REGLAS_ACCIONES'!$P:$P,"SIN_ACCION"),"SIN_ACCION")</x:f>
        <x:v>SIN_ACCION</x:v>
      </x:c>
      <x:c r="P52" s="23" t="n">
        <x:f>IF(O52="DESCUENTO",L52*N52,0)</x:f>
        <x:v>0</x:v>
      </x:c>
      <x:c r="Q52" s="19"/>
      <x:c r="R52" s="23" t="n">
        <x:f>L52*Q52</x:f>
        <x:v>0</x:v>
      </x:c>
      <x:c r="S52" s="23" t="n">
        <x:f>R52-P52</x:f>
        <x:v>0</x:v>
      </x:c>
      <x:c r="T52" s="18" t="str">
        <x:f>IF(M52="","SIN_ACCION",IF(ABS(S52)&lt;1,"OK",IF(S52&gt;0,"EXCESO_GASTO","MENOR_GASTO")))</x:f>
        <x:v>SIN_ACCION</x:v>
      </x:c>
      <x:c r="U52" s="18"/>
    </x:row>
    <x:row r="53" ht="15" hidden="0" customHeight="1">
      <x:c r="A53" s="22"/>
      <x:c r="B53" s="18"/>
      <x:c r="C53" s="18"/>
      <x:c r="D53" s="18"/>
      <x:c r="E53" s="18"/>
      <x:c r="F53" s="18"/>
      <x:c r="G53" s="18"/>
      <x:c r="H53" s="18"/>
      <x:c r="I53" s="18"/>
      <x:c r="J53" s="18"/>
      <x:c r="K53" s="18"/>
      <x:c r="L53" s="23"/>
      <x:c r="M53" s="18"/>
      <x:c r="N53" s="19" t="n">
        <x:f>IFERROR(XLOOKUP(M53,'01_REGLAS_ACCIONES'!$A:$A,'01_REGLAS_ACCIONES'!$Q:$Q,0),0)</x:f>
        <x:v>0</x:v>
      </x:c>
      <x:c r="O53" s="18" t="str">
        <x:f>IFERROR(XLOOKUP(M53,'01_REGLAS_ACCIONES'!$A:$A,'01_REGLAS_ACCIONES'!$P:$P,"SIN_ACCION"),"SIN_ACCION")</x:f>
        <x:v>SIN_ACCION</x:v>
      </x:c>
      <x:c r="P53" s="23" t="n">
        <x:f>IF(O53="DESCUENTO",L53*N53,0)</x:f>
        <x:v>0</x:v>
      </x:c>
      <x:c r="Q53" s="19"/>
      <x:c r="R53" s="23" t="n">
        <x:f>L53*Q53</x:f>
        <x:v>0</x:v>
      </x:c>
      <x:c r="S53" s="23" t="n">
        <x:f>R53-P53</x:f>
        <x:v>0</x:v>
      </x:c>
      <x:c r="T53" s="18" t="str">
        <x:f>IF(M53="","SIN_ACCION",IF(ABS(S53)&lt;1,"OK",IF(S53&gt;0,"EXCESO_GASTO","MENOR_GASTO")))</x:f>
        <x:v>SIN_ACCION</x:v>
      </x:c>
      <x:c r="U53" s="18"/>
    </x:row>
    <x:row r="54" ht="15" hidden="0" customHeight="1">
      <x:c r="A54" s="22"/>
      <x:c r="B54" s="18"/>
      <x:c r="C54" s="18"/>
      <x:c r="D54" s="18"/>
      <x:c r="E54" s="18"/>
      <x:c r="F54" s="18"/>
      <x:c r="G54" s="18"/>
      <x:c r="H54" s="18"/>
      <x:c r="I54" s="18"/>
      <x:c r="J54" s="18"/>
      <x:c r="K54" s="18"/>
      <x:c r="L54" s="23"/>
      <x:c r="M54" s="18"/>
      <x:c r="N54" s="19" t="n">
        <x:f>IFERROR(XLOOKUP(M54,'01_REGLAS_ACCIONES'!$A:$A,'01_REGLAS_ACCIONES'!$Q:$Q,0),0)</x:f>
        <x:v>0</x:v>
      </x:c>
      <x:c r="O54" s="18" t="str">
        <x:f>IFERROR(XLOOKUP(M54,'01_REGLAS_ACCIONES'!$A:$A,'01_REGLAS_ACCIONES'!$P:$P,"SIN_ACCION"),"SIN_ACCION")</x:f>
        <x:v>SIN_ACCION</x:v>
      </x:c>
      <x:c r="P54" s="23" t="n">
        <x:f>IF(O54="DESCUENTO",L54*N54,0)</x:f>
        <x:v>0</x:v>
      </x:c>
      <x:c r="Q54" s="19"/>
      <x:c r="R54" s="23" t="n">
        <x:f>L54*Q54</x:f>
        <x:v>0</x:v>
      </x:c>
      <x:c r="S54" s="23" t="n">
        <x:f>R54-P54</x:f>
        <x:v>0</x:v>
      </x:c>
      <x:c r="T54" s="18" t="str">
        <x:f>IF(M54="","SIN_ACCION",IF(ABS(S54)&lt;1,"OK",IF(S54&gt;0,"EXCESO_GASTO","MENOR_GASTO")))</x:f>
        <x:v>SIN_ACCION</x:v>
      </x:c>
      <x:c r="U54" s="18"/>
    </x:row>
    <x:row r="55" ht="15" hidden="0" customHeight="1">
      <x:c r="A55" s="22"/>
      <x:c r="B55" s="18"/>
      <x:c r="C55" s="18"/>
      <x:c r="D55" s="18"/>
      <x:c r="E55" s="18"/>
      <x:c r="F55" s="18"/>
      <x:c r="G55" s="18"/>
      <x:c r="H55" s="18"/>
      <x:c r="I55" s="18"/>
      <x:c r="J55" s="18"/>
      <x:c r="K55" s="18"/>
      <x:c r="L55" s="23"/>
      <x:c r="M55" s="18"/>
      <x:c r="N55" s="19" t="n">
        <x:f>IFERROR(XLOOKUP(M55,'01_REGLAS_ACCIONES'!$A:$A,'01_REGLAS_ACCIONES'!$Q:$Q,0),0)</x:f>
        <x:v>0</x:v>
      </x:c>
      <x:c r="O55" s="18" t="str">
        <x:f>IFERROR(XLOOKUP(M55,'01_REGLAS_ACCIONES'!$A:$A,'01_REGLAS_ACCIONES'!$P:$P,"SIN_ACCION"),"SIN_ACCION")</x:f>
        <x:v>SIN_ACCION</x:v>
      </x:c>
      <x:c r="P55" s="23" t="n">
        <x:f>IF(O55="DESCUENTO",L55*N55,0)</x:f>
        <x:v>0</x:v>
      </x:c>
      <x:c r="Q55" s="19"/>
      <x:c r="R55" s="23" t="n">
        <x:f>L55*Q55</x:f>
        <x:v>0</x:v>
      </x:c>
      <x:c r="S55" s="23" t="n">
        <x:f>R55-P55</x:f>
        <x:v>0</x:v>
      </x:c>
      <x:c r="T55" s="18" t="str">
        <x:f>IF(M55="","SIN_ACCION",IF(ABS(S55)&lt;1,"OK",IF(S55&gt;0,"EXCESO_GASTO","MENOR_GASTO")))</x:f>
        <x:v>SIN_ACCION</x:v>
      </x:c>
      <x:c r="U55" s="18"/>
    </x:row>
    <x:row r="56" ht="15" hidden="0" customHeight="1">
      <x:c r="A56" s="22"/>
      <x:c r="B56" s="18"/>
      <x:c r="C56" s="18"/>
      <x:c r="D56" s="18"/>
      <x:c r="E56" s="18"/>
      <x:c r="F56" s="18"/>
      <x:c r="G56" s="18"/>
      <x:c r="H56" s="18"/>
      <x:c r="I56" s="18"/>
      <x:c r="J56" s="18"/>
      <x:c r="K56" s="18"/>
      <x:c r="L56" s="23"/>
      <x:c r="M56" s="18"/>
      <x:c r="N56" s="19" t="n">
        <x:f>IFERROR(XLOOKUP(M56,'01_REGLAS_ACCIONES'!$A:$A,'01_REGLAS_ACCIONES'!$Q:$Q,0),0)</x:f>
        <x:v>0</x:v>
      </x:c>
      <x:c r="O56" s="18" t="str">
        <x:f>IFERROR(XLOOKUP(M56,'01_REGLAS_ACCIONES'!$A:$A,'01_REGLAS_ACCIONES'!$P:$P,"SIN_ACCION"),"SIN_ACCION")</x:f>
        <x:v>SIN_ACCION</x:v>
      </x:c>
      <x:c r="P56" s="23" t="n">
        <x:f>IF(O56="DESCUENTO",L56*N56,0)</x:f>
        <x:v>0</x:v>
      </x:c>
      <x:c r="Q56" s="19"/>
      <x:c r="R56" s="23" t="n">
        <x:f>L56*Q56</x:f>
        <x:v>0</x:v>
      </x:c>
      <x:c r="S56" s="23" t="n">
        <x:f>R56-P56</x:f>
        <x:v>0</x:v>
      </x:c>
      <x:c r="T56" s="18" t="str">
        <x:f>IF(M56="","SIN_ACCION",IF(ABS(S56)&lt;1,"OK",IF(S56&gt;0,"EXCESO_GASTO","MENOR_GASTO")))</x:f>
        <x:v>SIN_ACCION</x:v>
      </x:c>
      <x:c r="U56" s="18"/>
    </x:row>
    <x:row r="57" ht="15" hidden="0" customHeight="1">
      <x:c r="A57" s="22"/>
      <x:c r="B57" s="18"/>
      <x:c r="C57" s="18"/>
      <x:c r="D57" s="18"/>
      <x:c r="E57" s="18"/>
      <x:c r="F57" s="18"/>
      <x:c r="G57" s="18"/>
      <x:c r="H57" s="18"/>
      <x:c r="I57" s="18"/>
      <x:c r="J57" s="18"/>
      <x:c r="K57" s="18"/>
      <x:c r="L57" s="23"/>
      <x:c r="M57" s="18"/>
      <x:c r="N57" s="19" t="n">
        <x:f>IFERROR(XLOOKUP(M57,'01_REGLAS_ACCIONES'!$A:$A,'01_REGLAS_ACCIONES'!$Q:$Q,0),0)</x:f>
        <x:v>0</x:v>
      </x:c>
      <x:c r="O57" s="18" t="str">
        <x:f>IFERROR(XLOOKUP(M57,'01_REGLAS_ACCIONES'!$A:$A,'01_REGLAS_ACCIONES'!$P:$P,"SIN_ACCION"),"SIN_ACCION")</x:f>
        <x:v>SIN_ACCION</x:v>
      </x:c>
      <x:c r="P57" s="23" t="n">
        <x:f>IF(O57="DESCUENTO",L57*N57,0)</x:f>
        <x:v>0</x:v>
      </x:c>
      <x:c r="Q57" s="19"/>
      <x:c r="R57" s="23" t="n">
        <x:f>L57*Q57</x:f>
        <x:v>0</x:v>
      </x:c>
      <x:c r="S57" s="23" t="n">
        <x:f>R57-P57</x:f>
        <x:v>0</x:v>
      </x:c>
      <x:c r="T57" s="18" t="str">
        <x:f>IF(M57="","SIN_ACCION",IF(ABS(S57)&lt;1,"OK",IF(S57&gt;0,"EXCESO_GASTO","MENOR_GASTO")))</x:f>
        <x:v>SIN_ACCION</x:v>
      </x:c>
      <x:c r="U57" s="18"/>
    </x:row>
    <x:row r="58" ht="15" hidden="0" customHeight="1">
      <x:c r="A58" s="22"/>
      <x:c r="B58" s="18"/>
      <x:c r="C58" s="18"/>
      <x:c r="D58" s="18"/>
      <x:c r="E58" s="18"/>
      <x:c r="F58" s="18"/>
      <x:c r="G58" s="18"/>
      <x:c r="H58" s="18"/>
      <x:c r="I58" s="18"/>
      <x:c r="J58" s="18"/>
      <x:c r="K58" s="18"/>
      <x:c r="L58" s="23"/>
      <x:c r="M58" s="18"/>
      <x:c r="N58" s="19" t="n">
        <x:f>IFERROR(XLOOKUP(M58,'01_REGLAS_ACCIONES'!$A:$A,'01_REGLAS_ACCIONES'!$Q:$Q,0),0)</x:f>
        <x:v>0</x:v>
      </x:c>
      <x:c r="O58" s="18" t="str">
        <x:f>IFERROR(XLOOKUP(M58,'01_REGLAS_ACCIONES'!$A:$A,'01_REGLAS_ACCIONES'!$P:$P,"SIN_ACCION"),"SIN_ACCION")</x:f>
        <x:v>SIN_ACCION</x:v>
      </x:c>
      <x:c r="P58" s="23" t="n">
        <x:f>IF(O58="DESCUENTO",L58*N58,0)</x:f>
        <x:v>0</x:v>
      </x:c>
      <x:c r="Q58" s="19"/>
      <x:c r="R58" s="23" t="n">
        <x:f>L58*Q58</x:f>
        <x:v>0</x:v>
      </x:c>
      <x:c r="S58" s="23" t="n">
        <x:f>R58-P58</x:f>
        <x:v>0</x:v>
      </x:c>
      <x:c r="T58" s="18" t="str">
        <x:f>IF(M58="","SIN_ACCION",IF(ABS(S58)&lt;1,"OK",IF(S58&gt;0,"EXCESO_GASTO","MENOR_GASTO")))</x:f>
        <x:v>SIN_ACCION</x:v>
      </x:c>
      <x:c r="U58" s="18"/>
    </x:row>
    <x:row r="59" ht="15" hidden="0" customHeight="1">
      <x:c r="A59" s="22"/>
      <x:c r="B59" s="18"/>
      <x:c r="C59" s="18"/>
      <x:c r="D59" s="18"/>
      <x:c r="E59" s="18"/>
      <x:c r="F59" s="18"/>
      <x:c r="G59" s="18"/>
      <x:c r="H59" s="18"/>
      <x:c r="I59" s="18"/>
      <x:c r="J59" s="18"/>
      <x:c r="K59" s="18"/>
      <x:c r="L59" s="23"/>
      <x:c r="M59" s="18"/>
      <x:c r="N59" s="19" t="n">
        <x:f>IFERROR(XLOOKUP(M59,'01_REGLAS_ACCIONES'!$A:$A,'01_REGLAS_ACCIONES'!$Q:$Q,0),0)</x:f>
        <x:v>0</x:v>
      </x:c>
      <x:c r="O59" s="18" t="str">
        <x:f>IFERROR(XLOOKUP(M59,'01_REGLAS_ACCIONES'!$A:$A,'01_REGLAS_ACCIONES'!$P:$P,"SIN_ACCION"),"SIN_ACCION")</x:f>
        <x:v>SIN_ACCION</x:v>
      </x:c>
      <x:c r="P59" s="23" t="n">
        <x:f>IF(O59="DESCUENTO",L59*N59,0)</x:f>
        <x:v>0</x:v>
      </x:c>
      <x:c r="Q59" s="19"/>
      <x:c r="R59" s="23" t="n">
        <x:f>L59*Q59</x:f>
        <x:v>0</x:v>
      </x:c>
      <x:c r="S59" s="23" t="n">
        <x:f>R59-P59</x:f>
        <x:v>0</x:v>
      </x:c>
      <x:c r="T59" s="18" t="str">
        <x:f>IF(M59="","SIN_ACCION",IF(ABS(S59)&lt;1,"OK",IF(S59&gt;0,"EXCESO_GASTO","MENOR_GASTO")))</x:f>
        <x:v>SIN_ACCION</x:v>
      </x:c>
      <x:c r="U59" s="18"/>
    </x:row>
    <x:row r="60" ht="15" hidden="0" customHeight="1">
      <x:c r="A60" s="22"/>
      <x:c r="B60" s="18"/>
      <x:c r="C60" s="18"/>
      <x:c r="D60" s="18"/>
      <x:c r="E60" s="18"/>
      <x:c r="F60" s="18"/>
      <x:c r="G60" s="18"/>
      <x:c r="H60" s="18"/>
      <x:c r="I60" s="18"/>
      <x:c r="J60" s="18"/>
      <x:c r="K60" s="18"/>
      <x:c r="L60" s="23"/>
      <x:c r="M60" s="18"/>
      <x:c r="N60" s="19" t="n">
        <x:f>IFERROR(XLOOKUP(M60,'01_REGLAS_ACCIONES'!$A:$A,'01_REGLAS_ACCIONES'!$Q:$Q,0),0)</x:f>
        <x:v>0</x:v>
      </x:c>
      <x:c r="O60" s="18" t="str">
        <x:f>IFERROR(XLOOKUP(M60,'01_REGLAS_ACCIONES'!$A:$A,'01_REGLAS_ACCIONES'!$P:$P,"SIN_ACCION"),"SIN_ACCION")</x:f>
        <x:v>SIN_ACCION</x:v>
      </x:c>
      <x:c r="P60" s="23" t="n">
        <x:f>IF(O60="DESCUENTO",L60*N60,0)</x:f>
        <x:v>0</x:v>
      </x:c>
      <x:c r="Q60" s="19"/>
      <x:c r="R60" s="23" t="n">
        <x:f>L60*Q60</x:f>
        <x:v>0</x:v>
      </x:c>
      <x:c r="S60" s="23" t="n">
        <x:f>R60-P60</x:f>
        <x:v>0</x:v>
      </x:c>
      <x:c r="T60" s="18" t="str">
        <x:f>IF(M60="","SIN_ACCION",IF(ABS(S60)&lt;1,"OK",IF(S60&gt;0,"EXCESO_GASTO","MENOR_GASTO")))</x:f>
        <x:v>SIN_ACCION</x:v>
      </x:c>
      <x:c r="U60" s="18"/>
    </x:row>
    <x:row r="61" ht="15" hidden="0" customHeight="1">
      <x:c r="A61" s="22"/>
      <x:c r="B61" s="18"/>
      <x:c r="C61" s="18"/>
      <x:c r="D61" s="18"/>
      <x:c r="E61" s="18"/>
      <x:c r="F61" s="18"/>
      <x:c r="G61" s="18"/>
      <x:c r="H61" s="18"/>
      <x:c r="I61" s="18"/>
      <x:c r="J61" s="18"/>
      <x:c r="K61" s="18"/>
      <x:c r="L61" s="23"/>
      <x:c r="M61" s="18"/>
      <x:c r="N61" s="19" t="n">
        <x:f>IFERROR(XLOOKUP(M61,'01_REGLAS_ACCIONES'!$A:$A,'01_REGLAS_ACCIONES'!$Q:$Q,0),0)</x:f>
        <x:v>0</x:v>
      </x:c>
      <x:c r="O61" s="18" t="str">
        <x:f>IFERROR(XLOOKUP(M61,'01_REGLAS_ACCIONES'!$A:$A,'01_REGLAS_ACCIONES'!$P:$P,"SIN_ACCION"),"SIN_ACCION")</x:f>
        <x:v>SIN_ACCION</x:v>
      </x:c>
      <x:c r="P61" s="23" t="n">
        <x:f>IF(O61="DESCUENTO",L61*N61,0)</x:f>
        <x:v>0</x:v>
      </x:c>
      <x:c r="Q61" s="19"/>
      <x:c r="R61" s="23" t="n">
        <x:f>L61*Q61</x:f>
        <x:v>0</x:v>
      </x:c>
      <x:c r="S61" s="23" t="n">
        <x:f>R61-P61</x:f>
        <x:v>0</x:v>
      </x:c>
      <x:c r="T61" s="18" t="str">
        <x:f>IF(M61="","SIN_ACCION",IF(ABS(S61)&lt;1,"OK",IF(S61&gt;0,"EXCESO_GASTO","MENOR_GASTO")))</x:f>
        <x:v>SIN_ACCION</x:v>
      </x:c>
      <x:c r="U61" s="18"/>
    </x:row>
    <x:row r="62" ht="15" hidden="0" customHeight="1">
      <x:c r="A62" s="22"/>
      <x:c r="B62" s="18"/>
      <x:c r="C62" s="18"/>
      <x:c r="D62" s="18"/>
      <x:c r="E62" s="18"/>
      <x:c r="F62" s="18"/>
      <x:c r="G62" s="18"/>
      <x:c r="H62" s="18"/>
      <x:c r="I62" s="18"/>
      <x:c r="J62" s="18"/>
      <x:c r="K62" s="18"/>
      <x:c r="L62" s="23"/>
      <x:c r="M62" s="18"/>
      <x:c r="N62" s="19" t="n">
        <x:f>IFERROR(XLOOKUP(M62,'01_REGLAS_ACCIONES'!$A:$A,'01_REGLAS_ACCIONES'!$Q:$Q,0),0)</x:f>
        <x:v>0</x:v>
      </x:c>
      <x:c r="O62" s="18" t="str">
        <x:f>IFERROR(XLOOKUP(M62,'01_REGLAS_ACCIONES'!$A:$A,'01_REGLAS_ACCIONES'!$P:$P,"SIN_ACCION"),"SIN_ACCION")</x:f>
        <x:v>SIN_ACCION</x:v>
      </x:c>
      <x:c r="P62" s="23" t="n">
        <x:f>IF(O62="DESCUENTO",L62*N62,0)</x:f>
        <x:v>0</x:v>
      </x:c>
      <x:c r="Q62" s="19"/>
      <x:c r="R62" s="23" t="n">
        <x:f>L62*Q62</x:f>
        <x:v>0</x:v>
      </x:c>
      <x:c r="S62" s="23" t="n">
        <x:f>R62-P62</x:f>
        <x:v>0</x:v>
      </x:c>
      <x:c r="T62" s="18" t="str">
        <x:f>IF(M62="","SIN_ACCION",IF(ABS(S62)&lt;1,"OK",IF(S62&gt;0,"EXCESO_GASTO","MENOR_GASTO")))</x:f>
        <x:v>SIN_ACCION</x:v>
      </x:c>
      <x:c r="U62" s="18"/>
    </x:row>
    <x:row r="63" ht="15" hidden="0" customHeight="1">
      <x:c r="A63" s="22"/>
      <x:c r="B63" s="18"/>
      <x:c r="C63" s="18"/>
      <x:c r="D63" s="18"/>
      <x:c r="E63" s="18"/>
      <x:c r="F63" s="18"/>
      <x:c r="G63" s="18"/>
      <x:c r="H63" s="18"/>
      <x:c r="I63" s="18"/>
      <x:c r="J63" s="18"/>
      <x:c r="K63" s="18"/>
      <x:c r="L63" s="23"/>
      <x:c r="M63" s="18"/>
      <x:c r="N63" s="19" t="n">
        <x:f>IFERROR(XLOOKUP(M63,'01_REGLAS_ACCIONES'!$A:$A,'01_REGLAS_ACCIONES'!$Q:$Q,0),0)</x:f>
        <x:v>0</x:v>
      </x:c>
      <x:c r="O63" s="18" t="str">
        <x:f>IFERROR(XLOOKUP(M63,'01_REGLAS_ACCIONES'!$A:$A,'01_REGLAS_ACCIONES'!$P:$P,"SIN_ACCION"),"SIN_ACCION")</x:f>
        <x:v>SIN_ACCION</x:v>
      </x:c>
      <x:c r="P63" s="23" t="n">
        <x:f>IF(O63="DESCUENTO",L63*N63,0)</x:f>
        <x:v>0</x:v>
      </x:c>
      <x:c r="Q63" s="19"/>
      <x:c r="R63" s="23" t="n">
        <x:f>L63*Q63</x:f>
        <x:v>0</x:v>
      </x:c>
      <x:c r="S63" s="23" t="n">
        <x:f>R63-P63</x:f>
        <x:v>0</x:v>
      </x:c>
      <x:c r="T63" s="18" t="str">
        <x:f>IF(M63="","SIN_ACCION",IF(ABS(S63)&lt;1,"OK",IF(S63&gt;0,"EXCESO_GASTO","MENOR_GASTO")))</x:f>
        <x:v>SIN_ACCION</x:v>
      </x:c>
      <x:c r="U63" s="18"/>
    </x:row>
    <x:row r="64" ht="15" hidden="0" customHeight="1">
      <x:c r="A64" s="22"/>
      <x:c r="B64" s="18"/>
      <x:c r="C64" s="18"/>
      <x:c r="D64" s="18"/>
      <x:c r="E64" s="18"/>
      <x:c r="F64" s="18"/>
      <x:c r="G64" s="18"/>
      <x:c r="H64" s="18"/>
      <x:c r="I64" s="18"/>
      <x:c r="J64" s="18"/>
      <x:c r="K64" s="18"/>
      <x:c r="L64" s="23"/>
      <x:c r="M64" s="18"/>
      <x:c r="N64" s="19" t="n">
        <x:f>IFERROR(XLOOKUP(M64,'01_REGLAS_ACCIONES'!$A:$A,'01_REGLAS_ACCIONES'!$Q:$Q,0),0)</x:f>
        <x:v>0</x:v>
      </x:c>
      <x:c r="O64" s="18" t="str">
        <x:f>IFERROR(XLOOKUP(M64,'01_REGLAS_ACCIONES'!$A:$A,'01_REGLAS_ACCIONES'!$P:$P,"SIN_ACCION"),"SIN_ACCION")</x:f>
        <x:v>SIN_ACCION</x:v>
      </x:c>
      <x:c r="P64" s="23" t="n">
        <x:f>IF(O64="DESCUENTO",L64*N64,0)</x:f>
        <x:v>0</x:v>
      </x:c>
      <x:c r="Q64" s="19"/>
      <x:c r="R64" s="23" t="n">
        <x:f>L64*Q64</x:f>
        <x:v>0</x:v>
      </x:c>
      <x:c r="S64" s="23" t="n">
        <x:f>R64-P64</x:f>
        <x:v>0</x:v>
      </x:c>
      <x:c r="T64" s="18" t="str">
        <x:f>IF(M64="","SIN_ACCION",IF(ABS(S64)&lt;1,"OK",IF(S64&gt;0,"EXCESO_GASTO","MENOR_GASTO")))</x:f>
        <x:v>SIN_ACCION</x:v>
      </x:c>
      <x:c r="U64" s="18"/>
    </x:row>
    <x:row r="65" ht="15" hidden="0" customHeight="1">
      <x:c r="A65" s="22"/>
      <x:c r="B65" s="18"/>
      <x:c r="C65" s="18"/>
      <x:c r="D65" s="18"/>
      <x:c r="E65" s="18"/>
      <x:c r="F65" s="18"/>
      <x:c r="G65" s="18"/>
      <x:c r="H65" s="18"/>
      <x:c r="I65" s="18"/>
      <x:c r="J65" s="18"/>
      <x:c r="K65" s="18"/>
      <x:c r="L65" s="23"/>
      <x:c r="M65" s="18"/>
      <x:c r="N65" s="19" t="n">
        <x:f>IFERROR(XLOOKUP(M65,'01_REGLAS_ACCIONES'!$A:$A,'01_REGLAS_ACCIONES'!$Q:$Q,0),0)</x:f>
        <x:v>0</x:v>
      </x:c>
      <x:c r="O65" s="18" t="str">
        <x:f>IFERROR(XLOOKUP(M65,'01_REGLAS_ACCIONES'!$A:$A,'01_REGLAS_ACCIONES'!$P:$P,"SIN_ACCION"),"SIN_ACCION")</x:f>
        <x:v>SIN_ACCION</x:v>
      </x:c>
      <x:c r="P65" s="23" t="n">
        <x:f>IF(O65="DESCUENTO",L65*N65,0)</x:f>
        <x:v>0</x:v>
      </x:c>
      <x:c r="Q65" s="19"/>
      <x:c r="R65" s="23" t="n">
        <x:f>L65*Q65</x:f>
        <x:v>0</x:v>
      </x:c>
      <x:c r="S65" s="23" t="n">
        <x:f>R65-P65</x:f>
        <x:v>0</x:v>
      </x:c>
      <x:c r="T65" s="18" t="str">
        <x:f>IF(M65="","SIN_ACCION",IF(ABS(S65)&lt;1,"OK",IF(S65&gt;0,"EXCESO_GASTO","MENOR_GASTO")))</x:f>
        <x:v>SIN_ACCION</x:v>
      </x:c>
      <x:c r="U65" s="18"/>
    </x:row>
    <x:row r="66" ht="15" hidden="0" customHeight="1">
      <x:c r="A66" s="22"/>
      <x:c r="B66" s="18"/>
      <x:c r="C66" s="18"/>
      <x:c r="D66" s="18"/>
      <x:c r="E66" s="18"/>
      <x:c r="F66" s="18"/>
      <x:c r="G66" s="18"/>
      <x:c r="H66" s="18"/>
      <x:c r="I66" s="18"/>
      <x:c r="J66" s="18"/>
      <x:c r="K66" s="18"/>
      <x:c r="L66" s="23"/>
      <x:c r="M66" s="18"/>
      <x:c r="N66" s="19" t="n">
        <x:f>IFERROR(XLOOKUP(M66,'01_REGLAS_ACCIONES'!$A:$A,'01_REGLAS_ACCIONES'!$Q:$Q,0),0)</x:f>
        <x:v>0</x:v>
      </x:c>
      <x:c r="O66" s="18" t="str">
        <x:f>IFERROR(XLOOKUP(M66,'01_REGLAS_ACCIONES'!$A:$A,'01_REGLAS_ACCIONES'!$P:$P,"SIN_ACCION"),"SIN_ACCION")</x:f>
        <x:v>SIN_ACCION</x:v>
      </x:c>
      <x:c r="P66" s="23" t="n">
        <x:f>IF(O66="DESCUENTO",L66*N66,0)</x:f>
        <x:v>0</x:v>
      </x:c>
      <x:c r="Q66" s="19"/>
      <x:c r="R66" s="23" t="n">
        <x:f>L66*Q66</x:f>
        <x:v>0</x:v>
      </x:c>
      <x:c r="S66" s="23" t="n">
        <x:f>R66-P66</x:f>
        <x:v>0</x:v>
      </x:c>
      <x:c r="T66" s="18" t="str">
        <x:f>IF(M66="","SIN_ACCION",IF(ABS(S66)&lt;1,"OK",IF(S66&gt;0,"EXCESO_GASTO","MENOR_GASTO")))</x:f>
        <x:v>SIN_ACCION</x:v>
      </x:c>
      <x:c r="U66" s="18"/>
    </x:row>
    <x:row r="67" ht="15" hidden="0" customHeight="1">
      <x:c r="A67" s="22"/>
      <x:c r="B67" s="18"/>
      <x:c r="C67" s="18"/>
      <x:c r="D67" s="18"/>
      <x:c r="E67" s="18"/>
      <x:c r="F67" s="18"/>
      <x:c r="G67" s="18"/>
      <x:c r="H67" s="18"/>
      <x:c r="I67" s="18"/>
      <x:c r="J67" s="18"/>
      <x:c r="K67" s="18"/>
      <x:c r="L67" s="23"/>
      <x:c r="M67" s="18"/>
      <x:c r="N67" s="19" t="n">
        <x:f>IFERROR(XLOOKUP(M67,'01_REGLAS_ACCIONES'!$A:$A,'01_REGLAS_ACCIONES'!$Q:$Q,0),0)</x:f>
        <x:v>0</x:v>
      </x:c>
      <x:c r="O67" s="18" t="str">
        <x:f>IFERROR(XLOOKUP(M67,'01_REGLAS_ACCIONES'!$A:$A,'01_REGLAS_ACCIONES'!$P:$P,"SIN_ACCION"),"SIN_ACCION")</x:f>
        <x:v>SIN_ACCION</x:v>
      </x:c>
      <x:c r="P67" s="23" t="n">
        <x:f>IF(O67="DESCUENTO",L67*N67,0)</x:f>
        <x:v>0</x:v>
      </x:c>
      <x:c r="Q67" s="19"/>
      <x:c r="R67" s="23" t="n">
        <x:f>L67*Q67</x:f>
        <x:v>0</x:v>
      </x:c>
      <x:c r="S67" s="23" t="n">
        <x:f>R67-P67</x:f>
        <x:v>0</x:v>
      </x:c>
      <x:c r="T67" s="18" t="str">
        <x:f>IF(M67="","SIN_ACCION",IF(ABS(S67)&lt;1,"OK",IF(S67&gt;0,"EXCESO_GASTO","MENOR_GASTO")))</x:f>
        <x:v>SIN_ACCION</x:v>
      </x:c>
      <x:c r="U67" s="18"/>
    </x:row>
    <x:row r="68" ht="15" hidden="0" customHeight="1">
      <x:c r="A68" s="22"/>
      <x:c r="B68" s="18"/>
      <x:c r="C68" s="18"/>
      <x:c r="D68" s="18"/>
      <x:c r="E68" s="18"/>
      <x:c r="F68" s="18"/>
      <x:c r="G68" s="18"/>
      <x:c r="H68" s="18"/>
      <x:c r="I68" s="18"/>
      <x:c r="J68" s="18"/>
      <x:c r="K68" s="18"/>
      <x:c r="L68" s="23"/>
      <x:c r="M68" s="18"/>
      <x:c r="N68" s="19" t="n">
        <x:f>IFERROR(XLOOKUP(M68,'01_REGLAS_ACCIONES'!$A:$A,'01_REGLAS_ACCIONES'!$Q:$Q,0),0)</x:f>
        <x:v>0</x:v>
      </x:c>
      <x:c r="O68" s="18" t="str">
        <x:f>IFERROR(XLOOKUP(M68,'01_REGLAS_ACCIONES'!$A:$A,'01_REGLAS_ACCIONES'!$P:$P,"SIN_ACCION"),"SIN_ACCION")</x:f>
        <x:v>SIN_ACCION</x:v>
      </x:c>
      <x:c r="P68" s="23" t="n">
        <x:f>IF(O68="DESCUENTO",L68*N68,0)</x:f>
        <x:v>0</x:v>
      </x:c>
      <x:c r="Q68" s="19"/>
      <x:c r="R68" s="23" t="n">
        <x:f>L68*Q68</x:f>
        <x:v>0</x:v>
      </x:c>
      <x:c r="S68" s="23" t="n">
        <x:f>R68-P68</x:f>
        <x:v>0</x:v>
      </x:c>
      <x:c r="T68" s="18" t="str">
        <x:f>IF(M68="","SIN_ACCION",IF(ABS(S68)&lt;1,"OK",IF(S68&gt;0,"EXCESO_GASTO","MENOR_GASTO")))</x:f>
        <x:v>SIN_ACCION</x:v>
      </x:c>
      <x:c r="U68" s="18"/>
    </x:row>
    <x:row r="69" ht="15" hidden="0" customHeight="1">
      <x:c r="A69" s="22"/>
      <x:c r="B69" s="18"/>
      <x:c r="C69" s="18"/>
      <x:c r="D69" s="18"/>
      <x:c r="E69" s="18"/>
      <x:c r="F69" s="18"/>
      <x:c r="G69" s="18"/>
      <x:c r="H69" s="18"/>
      <x:c r="I69" s="18"/>
      <x:c r="J69" s="18"/>
      <x:c r="K69" s="18"/>
      <x:c r="L69" s="23"/>
      <x:c r="M69" s="18"/>
      <x:c r="N69" s="19" t="n">
        <x:f>IFERROR(XLOOKUP(M69,'01_REGLAS_ACCIONES'!$A:$A,'01_REGLAS_ACCIONES'!$Q:$Q,0),0)</x:f>
        <x:v>0</x:v>
      </x:c>
      <x:c r="O69" s="18" t="str">
        <x:f>IFERROR(XLOOKUP(M69,'01_REGLAS_ACCIONES'!$A:$A,'01_REGLAS_ACCIONES'!$P:$P,"SIN_ACCION"),"SIN_ACCION")</x:f>
        <x:v>SIN_ACCION</x:v>
      </x:c>
      <x:c r="P69" s="23" t="n">
        <x:f>IF(O69="DESCUENTO",L69*N69,0)</x:f>
        <x:v>0</x:v>
      </x:c>
      <x:c r="Q69" s="19"/>
      <x:c r="R69" s="23" t="n">
        <x:f>L69*Q69</x:f>
        <x:v>0</x:v>
      </x:c>
      <x:c r="S69" s="23" t="n">
        <x:f>R69-P69</x:f>
        <x:v>0</x:v>
      </x:c>
      <x:c r="T69" s="18" t="str">
        <x:f>IF(M69="","SIN_ACCION",IF(ABS(S69)&lt;1,"OK",IF(S69&gt;0,"EXCESO_GASTO","MENOR_GASTO")))</x:f>
        <x:v>SIN_ACCION</x:v>
      </x:c>
      <x:c r="U69" s="18"/>
    </x:row>
    <x:row r="70" ht="15" hidden="0" customHeight="1">
      <x:c r="A70" s="22"/>
      <x:c r="B70" s="18"/>
      <x:c r="C70" s="18"/>
      <x:c r="D70" s="18"/>
      <x:c r="E70" s="18"/>
      <x:c r="F70" s="18"/>
      <x:c r="G70" s="18"/>
      <x:c r="H70" s="18"/>
      <x:c r="I70" s="18"/>
      <x:c r="J70" s="18"/>
      <x:c r="K70" s="18"/>
      <x:c r="L70" s="23"/>
      <x:c r="M70" s="18"/>
      <x:c r="N70" s="19" t="n">
        <x:f>IFERROR(XLOOKUP(M70,'01_REGLAS_ACCIONES'!$A:$A,'01_REGLAS_ACCIONES'!$Q:$Q,0),0)</x:f>
        <x:v>0</x:v>
      </x:c>
      <x:c r="O70" s="18" t="str">
        <x:f>IFERROR(XLOOKUP(M70,'01_REGLAS_ACCIONES'!$A:$A,'01_REGLAS_ACCIONES'!$P:$P,"SIN_ACCION"),"SIN_ACCION")</x:f>
        <x:v>SIN_ACCION</x:v>
      </x:c>
      <x:c r="P70" s="23" t="n">
        <x:f>IF(O70="DESCUENTO",L70*N70,0)</x:f>
        <x:v>0</x:v>
      </x:c>
      <x:c r="Q70" s="19"/>
      <x:c r="R70" s="23" t="n">
        <x:f>L70*Q70</x:f>
        <x:v>0</x:v>
      </x:c>
      <x:c r="S70" s="23" t="n">
        <x:f>R70-P70</x:f>
        <x:v>0</x:v>
      </x:c>
      <x:c r="T70" s="18" t="str">
        <x:f>IF(M70="","SIN_ACCION",IF(ABS(S70)&lt;1,"OK",IF(S70&gt;0,"EXCESO_GASTO","MENOR_GASTO")))</x:f>
        <x:v>SIN_ACCION</x:v>
      </x:c>
      <x:c r="U70" s="18"/>
    </x:row>
    <x:row r="71" ht="15" hidden="0" customHeight="1">
      <x:c r="A71" s="22"/>
      <x:c r="B71" s="18"/>
      <x:c r="C71" s="18"/>
      <x:c r="D71" s="18"/>
      <x:c r="E71" s="18"/>
      <x:c r="F71" s="18"/>
      <x:c r="G71" s="18"/>
      <x:c r="H71" s="18"/>
      <x:c r="I71" s="18"/>
      <x:c r="J71" s="18"/>
      <x:c r="K71" s="18"/>
      <x:c r="L71" s="23"/>
      <x:c r="M71" s="18"/>
      <x:c r="N71" s="19" t="n">
        <x:f>IFERROR(XLOOKUP(M71,'01_REGLAS_ACCIONES'!$A:$A,'01_REGLAS_ACCIONES'!$Q:$Q,0),0)</x:f>
        <x:v>0</x:v>
      </x:c>
      <x:c r="O71" s="18" t="str">
        <x:f>IFERROR(XLOOKUP(M71,'01_REGLAS_ACCIONES'!$A:$A,'01_REGLAS_ACCIONES'!$P:$P,"SIN_ACCION"),"SIN_ACCION")</x:f>
        <x:v>SIN_ACCION</x:v>
      </x:c>
      <x:c r="P71" s="23" t="n">
        <x:f>IF(O71="DESCUENTO",L71*N71,0)</x:f>
        <x:v>0</x:v>
      </x:c>
      <x:c r="Q71" s="19"/>
      <x:c r="R71" s="23" t="n">
        <x:f>L71*Q71</x:f>
        <x:v>0</x:v>
      </x:c>
      <x:c r="S71" s="23" t="n">
        <x:f>R71-P71</x:f>
        <x:v>0</x:v>
      </x:c>
      <x:c r="T71" s="18" t="str">
        <x:f>IF(M71="","SIN_ACCION",IF(ABS(S71)&lt;1,"OK",IF(S71&gt;0,"EXCESO_GASTO","MENOR_GASTO")))</x:f>
        <x:v>SIN_ACCION</x:v>
      </x:c>
      <x:c r="U71" s="18"/>
    </x:row>
    <x:row r="72" ht="15" hidden="0" customHeight="1">
      <x:c r="A72" s="22"/>
      <x:c r="B72" s="18"/>
      <x:c r="C72" s="18"/>
      <x:c r="D72" s="18"/>
      <x:c r="E72" s="18"/>
      <x:c r="F72" s="18"/>
      <x:c r="G72" s="18"/>
      <x:c r="H72" s="18"/>
      <x:c r="I72" s="18"/>
      <x:c r="J72" s="18"/>
      <x:c r="K72" s="18"/>
      <x:c r="L72" s="23"/>
      <x:c r="M72" s="18"/>
      <x:c r="N72" s="19" t="n">
        <x:f>IFERROR(XLOOKUP(M72,'01_REGLAS_ACCIONES'!$A:$A,'01_REGLAS_ACCIONES'!$Q:$Q,0),0)</x:f>
        <x:v>0</x:v>
      </x:c>
      <x:c r="O72" s="18" t="str">
        <x:f>IFERROR(XLOOKUP(M72,'01_REGLAS_ACCIONES'!$A:$A,'01_REGLAS_ACCIONES'!$P:$P,"SIN_ACCION"),"SIN_ACCION")</x:f>
        <x:v>SIN_ACCION</x:v>
      </x:c>
      <x:c r="P72" s="23" t="n">
        <x:f>IF(O72="DESCUENTO",L72*N72,0)</x:f>
        <x:v>0</x:v>
      </x:c>
      <x:c r="Q72" s="19"/>
      <x:c r="R72" s="23" t="n">
        <x:f>L72*Q72</x:f>
        <x:v>0</x:v>
      </x:c>
      <x:c r="S72" s="23" t="n">
        <x:f>R72-P72</x:f>
        <x:v>0</x:v>
      </x:c>
      <x:c r="T72" s="18" t="str">
        <x:f>IF(M72="","SIN_ACCION",IF(ABS(S72)&lt;1,"OK",IF(S72&gt;0,"EXCESO_GASTO","MENOR_GASTO")))</x:f>
        <x:v>SIN_ACCION</x:v>
      </x:c>
      <x:c r="U72" s="18"/>
    </x:row>
    <x:row r="73" ht="15" hidden="0" customHeight="1">
      <x:c r="A73" s="22"/>
      <x:c r="B73" s="18"/>
      <x:c r="C73" s="18"/>
      <x:c r="D73" s="18"/>
      <x:c r="E73" s="18"/>
      <x:c r="F73" s="18"/>
      <x:c r="G73" s="18"/>
      <x:c r="H73" s="18"/>
      <x:c r="I73" s="18"/>
      <x:c r="J73" s="18"/>
      <x:c r="K73" s="18"/>
      <x:c r="L73" s="23"/>
      <x:c r="M73" s="18"/>
      <x:c r="N73" s="19" t="n">
        <x:f>IFERROR(XLOOKUP(M73,'01_REGLAS_ACCIONES'!$A:$A,'01_REGLAS_ACCIONES'!$Q:$Q,0),0)</x:f>
        <x:v>0</x:v>
      </x:c>
      <x:c r="O73" s="18" t="str">
        <x:f>IFERROR(XLOOKUP(M73,'01_REGLAS_ACCIONES'!$A:$A,'01_REGLAS_ACCIONES'!$P:$P,"SIN_ACCION"),"SIN_ACCION")</x:f>
        <x:v>SIN_ACCION</x:v>
      </x:c>
      <x:c r="P73" s="23" t="n">
        <x:f>IF(O73="DESCUENTO",L73*N73,0)</x:f>
        <x:v>0</x:v>
      </x:c>
      <x:c r="Q73" s="19"/>
      <x:c r="R73" s="23" t="n">
        <x:f>L73*Q73</x:f>
        <x:v>0</x:v>
      </x:c>
      <x:c r="S73" s="23" t="n">
        <x:f>R73-P73</x:f>
        <x:v>0</x:v>
      </x:c>
      <x:c r="T73" s="18" t="str">
        <x:f>IF(M73="","SIN_ACCION",IF(ABS(S73)&lt;1,"OK",IF(S73&gt;0,"EXCESO_GASTO","MENOR_GASTO")))</x:f>
        <x:v>SIN_ACCION</x:v>
      </x:c>
      <x:c r="U73" s="18"/>
    </x:row>
    <x:row r="74" ht="15" hidden="0" customHeight="1">
      <x:c r="A74" s="22"/>
      <x:c r="B74" s="18"/>
      <x:c r="C74" s="18"/>
      <x:c r="D74" s="18"/>
      <x:c r="E74" s="18"/>
      <x:c r="F74" s="18"/>
      <x:c r="G74" s="18"/>
      <x:c r="H74" s="18"/>
      <x:c r="I74" s="18"/>
      <x:c r="J74" s="18"/>
      <x:c r="K74" s="18"/>
      <x:c r="L74" s="23"/>
      <x:c r="M74" s="18"/>
      <x:c r="N74" s="19" t="n">
        <x:f>IFERROR(XLOOKUP(M74,'01_REGLAS_ACCIONES'!$A:$A,'01_REGLAS_ACCIONES'!$Q:$Q,0),0)</x:f>
        <x:v>0</x:v>
      </x:c>
      <x:c r="O74" s="18" t="str">
        <x:f>IFERROR(XLOOKUP(M74,'01_REGLAS_ACCIONES'!$A:$A,'01_REGLAS_ACCIONES'!$P:$P,"SIN_ACCION"),"SIN_ACCION")</x:f>
        <x:v>SIN_ACCION</x:v>
      </x:c>
      <x:c r="P74" s="23" t="n">
        <x:f>IF(O74="DESCUENTO",L74*N74,0)</x:f>
        <x:v>0</x:v>
      </x:c>
      <x:c r="Q74" s="19"/>
      <x:c r="R74" s="23" t="n">
        <x:f>L74*Q74</x:f>
        <x:v>0</x:v>
      </x:c>
      <x:c r="S74" s="23" t="n">
        <x:f>R74-P74</x:f>
        <x:v>0</x:v>
      </x:c>
      <x:c r="T74" s="18" t="str">
        <x:f>IF(M74="","SIN_ACCION",IF(ABS(S74)&lt;1,"OK",IF(S74&gt;0,"EXCESO_GASTO","MENOR_GASTO")))</x:f>
        <x:v>SIN_ACCION</x:v>
      </x:c>
      <x:c r="U74" s="18"/>
    </x:row>
    <x:row r="75" ht="15" hidden="0" customHeight="1">
      <x:c r="A75" s="22"/>
      <x:c r="B75" s="18"/>
      <x:c r="C75" s="18"/>
      <x:c r="D75" s="18"/>
      <x:c r="E75" s="18"/>
      <x:c r="F75" s="18"/>
      <x:c r="G75" s="18"/>
      <x:c r="H75" s="18"/>
      <x:c r="I75" s="18"/>
      <x:c r="J75" s="18"/>
      <x:c r="K75" s="18"/>
      <x:c r="L75" s="23"/>
      <x:c r="M75" s="18"/>
      <x:c r="N75" s="19" t="n">
        <x:f>IFERROR(XLOOKUP(M75,'01_REGLAS_ACCIONES'!$A:$A,'01_REGLAS_ACCIONES'!$Q:$Q,0),0)</x:f>
        <x:v>0</x:v>
      </x:c>
      <x:c r="O75" s="18" t="str">
        <x:f>IFERROR(XLOOKUP(M75,'01_REGLAS_ACCIONES'!$A:$A,'01_REGLAS_ACCIONES'!$P:$P,"SIN_ACCION"),"SIN_ACCION")</x:f>
        <x:v>SIN_ACCION</x:v>
      </x:c>
      <x:c r="P75" s="23" t="n">
        <x:f>IF(O75="DESCUENTO",L75*N75,0)</x:f>
        <x:v>0</x:v>
      </x:c>
      <x:c r="Q75" s="19"/>
      <x:c r="R75" s="23" t="n">
        <x:f>L75*Q75</x:f>
        <x:v>0</x:v>
      </x:c>
      <x:c r="S75" s="23" t="n">
        <x:f>R75-P75</x:f>
        <x:v>0</x:v>
      </x:c>
      <x:c r="T75" s="18" t="str">
        <x:f>IF(M75="","SIN_ACCION",IF(ABS(S75)&lt;1,"OK",IF(S75&gt;0,"EXCESO_GASTO","MENOR_GASTO")))</x:f>
        <x:v>SIN_ACCION</x:v>
      </x:c>
      <x:c r="U75" s="18"/>
    </x:row>
    <x:row r="76" ht="15" hidden="0" customHeight="1">
      <x:c r="A76" s="22"/>
      <x:c r="B76" s="18"/>
      <x:c r="C76" s="18"/>
      <x:c r="D76" s="18"/>
      <x:c r="E76" s="18"/>
      <x:c r="F76" s="18"/>
      <x:c r="G76" s="18"/>
      <x:c r="H76" s="18"/>
      <x:c r="I76" s="18"/>
      <x:c r="J76" s="18"/>
      <x:c r="K76" s="18"/>
      <x:c r="L76" s="23"/>
      <x:c r="M76" s="18"/>
      <x:c r="N76" s="19" t="n">
        <x:f>IFERROR(XLOOKUP(M76,'01_REGLAS_ACCIONES'!$A:$A,'01_REGLAS_ACCIONES'!$Q:$Q,0),0)</x:f>
        <x:v>0</x:v>
      </x:c>
      <x:c r="O76" s="18" t="str">
        <x:f>IFERROR(XLOOKUP(M76,'01_REGLAS_ACCIONES'!$A:$A,'01_REGLAS_ACCIONES'!$P:$P,"SIN_ACCION"),"SIN_ACCION")</x:f>
        <x:v>SIN_ACCION</x:v>
      </x:c>
      <x:c r="P76" s="23" t="n">
        <x:f>IF(O76="DESCUENTO",L76*N76,0)</x:f>
        <x:v>0</x:v>
      </x:c>
      <x:c r="Q76" s="19"/>
      <x:c r="R76" s="23" t="n">
        <x:f>L76*Q76</x:f>
        <x:v>0</x:v>
      </x:c>
      <x:c r="S76" s="23" t="n">
        <x:f>R76-P76</x:f>
        <x:v>0</x:v>
      </x:c>
      <x:c r="T76" s="18" t="str">
        <x:f>IF(M76="","SIN_ACCION",IF(ABS(S76)&lt;1,"OK",IF(S76&gt;0,"EXCESO_GASTO","MENOR_GASTO")))</x:f>
        <x:v>SIN_ACCION</x:v>
      </x:c>
      <x:c r="U76" s="18"/>
    </x:row>
    <x:row r="77" ht="15" hidden="0" customHeight="1">
      <x:c r="A77" s="22"/>
      <x:c r="B77" s="18"/>
      <x:c r="C77" s="18"/>
      <x:c r="D77" s="18"/>
      <x:c r="E77" s="18"/>
      <x:c r="F77" s="18"/>
      <x:c r="G77" s="18"/>
      <x:c r="H77" s="18"/>
      <x:c r="I77" s="18"/>
      <x:c r="J77" s="18"/>
      <x:c r="K77" s="18"/>
      <x:c r="L77" s="23"/>
      <x:c r="M77" s="18"/>
      <x:c r="N77" s="19" t="n">
        <x:f>IFERROR(XLOOKUP(M77,'01_REGLAS_ACCIONES'!$A:$A,'01_REGLAS_ACCIONES'!$Q:$Q,0),0)</x:f>
        <x:v>0</x:v>
      </x:c>
      <x:c r="O77" s="18" t="str">
        <x:f>IFERROR(XLOOKUP(M77,'01_REGLAS_ACCIONES'!$A:$A,'01_REGLAS_ACCIONES'!$P:$P,"SIN_ACCION"),"SIN_ACCION")</x:f>
        <x:v>SIN_ACCION</x:v>
      </x:c>
      <x:c r="P77" s="23" t="n">
        <x:f>IF(O77="DESCUENTO",L77*N77,0)</x:f>
        <x:v>0</x:v>
      </x:c>
      <x:c r="Q77" s="19"/>
      <x:c r="R77" s="23" t="n">
        <x:f>L77*Q77</x:f>
        <x:v>0</x:v>
      </x:c>
      <x:c r="S77" s="23" t="n">
        <x:f>R77-P77</x:f>
        <x:v>0</x:v>
      </x:c>
      <x:c r="T77" s="18" t="str">
        <x:f>IF(M77="","SIN_ACCION",IF(ABS(S77)&lt;1,"OK",IF(S77&gt;0,"EXCESO_GASTO","MENOR_GASTO")))</x:f>
        <x:v>SIN_ACCION</x:v>
      </x:c>
      <x:c r="U77" s="18"/>
    </x:row>
    <x:row r="78" ht="15" hidden="0" customHeight="1">
      <x:c r="A78" s="22"/>
      <x:c r="B78" s="18"/>
      <x:c r="C78" s="18"/>
      <x:c r="D78" s="18"/>
      <x:c r="E78" s="18"/>
      <x:c r="F78" s="18"/>
      <x:c r="G78" s="18"/>
      <x:c r="H78" s="18"/>
      <x:c r="I78" s="18"/>
      <x:c r="J78" s="18"/>
      <x:c r="K78" s="18"/>
      <x:c r="L78" s="23"/>
      <x:c r="M78" s="18"/>
      <x:c r="N78" s="19" t="n">
        <x:f>IFERROR(XLOOKUP(M78,'01_REGLAS_ACCIONES'!$A:$A,'01_REGLAS_ACCIONES'!$Q:$Q,0),0)</x:f>
        <x:v>0</x:v>
      </x:c>
      <x:c r="O78" s="18" t="str">
        <x:f>IFERROR(XLOOKUP(M78,'01_REGLAS_ACCIONES'!$A:$A,'01_REGLAS_ACCIONES'!$P:$P,"SIN_ACCION"),"SIN_ACCION")</x:f>
        <x:v>SIN_ACCION</x:v>
      </x:c>
      <x:c r="P78" s="23" t="n">
        <x:f>IF(O78="DESCUENTO",L78*N78,0)</x:f>
        <x:v>0</x:v>
      </x:c>
      <x:c r="Q78" s="19"/>
      <x:c r="R78" s="23" t="n">
        <x:f>L78*Q78</x:f>
        <x:v>0</x:v>
      </x:c>
      <x:c r="S78" s="23" t="n">
        <x:f>R78-P78</x:f>
        <x:v>0</x:v>
      </x:c>
      <x:c r="T78" s="18" t="str">
        <x:f>IF(M78="","SIN_ACCION",IF(ABS(S78)&lt;1,"OK",IF(S78&gt;0,"EXCESO_GASTO","MENOR_GASTO")))</x:f>
        <x:v>SIN_ACCION</x:v>
      </x:c>
      <x:c r="U78" s="18"/>
    </x:row>
    <x:row r="79" ht="15" hidden="0" customHeight="1">
      <x:c r="A79" s="22"/>
      <x:c r="B79" s="18"/>
      <x:c r="C79" s="18"/>
      <x:c r="D79" s="18"/>
      <x:c r="E79" s="18"/>
      <x:c r="F79" s="18"/>
      <x:c r="G79" s="18"/>
      <x:c r="H79" s="18"/>
      <x:c r="I79" s="18"/>
      <x:c r="J79" s="18"/>
      <x:c r="K79" s="18"/>
      <x:c r="L79" s="23"/>
      <x:c r="M79" s="18"/>
      <x:c r="N79" s="19" t="n">
        <x:f>IFERROR(XLOOKUP(M79,'01_REGLAS_ACCIONES'!$A:$A,'01_REGLAS_ACCIONES'!$Q:$Q,0),0)</x:f>
        <x:v>0</x:v>
      </x:c>
      <x:c r="O79" s="18" t="str">
        <x:f>IFERROR(XLOOKUP(M79,'01_REGLAS_ACCIONES'!$A:$A,'01_REGLAS_ACCIONES'!$P:$P,"SIN_ACCION"),"SIN_ACCION")</x:f>
        <x:v>SIN_ACCION</x:v>
      </x:c>
      <x:c r="P79" s="23" t="n">
        <x:f>IF(O79="DESCUENTO",L79*N79,0)</x:f>
        <x:v>0</x:v>
      </x:c>
      <x:c r="Q79" s="19"/>
      <x:c r="R79" s="23" t="n">
        <x:f>L79*Q79</x:f>
        <x:v>0</x:v>
      </x:c>
      <x:c r="S79" s="23" t="n">
        <x:f>R79-P79</x:f>
        <x:v>0</x:v>
      </x:c>
      <x:c r="T79" s="18" t="str">
        <x:f>IF(M79="","SIN_ACCION",IF(ABS(S79)&lt;1,"OK",IF(S79&gt;0,"EXCESO_GASTO","MENOR_GASTO")))</x:f>
        <x:v>SIN_ACCION</x:v>
      </x:c>
      <x:c r="U79" s="18"/>
    </x:row>
    <x:row r="80" ht="15" hidden="0" customHeight="1">
      <x:c r="A80" s="22"/>
      <x:c r="B80" s="18"/>
      <x:c r="C80" s="18"/>
      <x:c r="D80" s="18"/>
      <x:c r="E80" s="18"/>
      <x:c r="F80" s="18"/>
      <x:c r="G80" s="18"/>
      <x:c r="H80" s="18"/>
      <x:c r="I80" s="18"/>
      <x:c r="J80" s="18"/>
      <x:c r="K80" s="18"/>
      <x:c r="L80" s="23"/>
      <x:c r="M80" s="18"/>
      <x:c r="N80" s="19" t="n">
        <x:f>IFERROR(XLOOKUP(M80,'01_REGLAS_ACCIONES'!$A:$A,'01_REGLAS_ACCIONES'!$Q:$Q,0),0)</x:f>
        <x:v>0</x:v>
      </x:c>
      <x:c r="O80" s="18" t="str">
        <x:f>IFERROR(XLOOKUP(M80,'01_REGLAS_ACCIONES'!$A:$A,'01_REGLAS_ACCIONES'!$P:$P,"SIN_ACCION"),"SIN_ACCION")</x:f>
        <x:v>SIN_ACCION</x:v>
      </x:c>
      <x:c r="P80" s="23" t="n">
        <x:f>IF(O80="DESCUENTO",L80*N80,0)</x:f>
        <x:v>0</x:v>
      </x:c>
      <x:c r="Q80" s="19"/>
      <x:c r="R80" s="23" t="n">
        <x:f>L80*Q80</x:f>
        <x:v>0</x:v>
      </x:c>
      <x:c r="S80" s="23" t="n">
        <x:f>R80-P80</x:f>
        <x:v>0</x:v>
      </x:c>
      <x:c r="T80" s="18" t="str">
        <x:f>IF(M80="","SIN_ACCION",IF(ABS(S80)&lt;1,"OK",IF(S80&gt;0,"EXCESO_GASTO","MENOR_GASTO")))</x:f>
        <x:v>SIN_ACCION</x:v>
      </x:c>
      <x:c r="U80" s="18"/>
    </x:row>
    <x:row r="81" ht="15" hidden="0" customHeight="1">
      <x:c r="A81" s="22"/>
      <x:c r="B81" s="18"/>
      <x:c r="C81" s="18"/>
      <x:c r="D81" s="18"/>
      <x:c r="E81" s="18"/>
      <x:c r="F81" s="18"/>
      <x:c r="G81" s="18"/>
      <x:c r="H81" s="18"/>
      <x:c r="I81" s="18"/>
      <x:c r="J81" s="18"/>
      <x:c r="K81" s="18"/>
      <x:c r="L81" s="23"/>
      <x:c r="M81" s="18"/>
      <x:c r="N81" s="19" t="n">
        <x:f>IFERROR(XLOOKUP(M81,'01_REGLAS_ACCIONES'!$A:$A,'01_REGLAS_ACCIONES'!$Q:$Q,0),0)</x:f>
        <x:v>0</x:v>
      </x:c>
      <x:c r="O81" s="18" t="str">
        <x:f>IFERROR(XLOOKUP(M81,'01_REGLAS_ACCIONES'!$A:$A,'01_REGLAS_ACCIONES'!$P:$P,"SIN_ACCION"),"SIN_ACCION")</x:f>
        <x:v>SIN_ACCION</x:v>
      </x:c>
      <x:c r="P81" s="23" t="n">
        <x:f>IF(O81="DESCUENTO",L81*N81,0)</x:f>
        <x:v>0</x:v>
      </x:c>
      <x:c r="Q81" s="19"/>
      <x:c r="R81" s="23" t="n">
        <x:f>L81*Q81</x:f>
        <x:v>0</x:v>
      </x:c>
      <x:c r="S81" s="23" t="n">
        <x:f>R81-P81</x:f>
        <x:v>0</x:v>
      </x:c>
      <x:c r="T81" s="18" t="str">
        <x:f>IF(M81="","SIN_ACCION",IF(ABS(S81)&lt;1,"OK",IF(S81&gt;0,"EXCESO_GASTO","MENOR_GASTO")))</x:f>
        <x:v>SIN_ACCION</x:v>
      </x:c>
      <x:c r="U81" s="18"/>
    </x:row>
    <x:row r="82" ht="15" hidden="0" customHeight="1">
      <x:c r="A82" s="22"/>
      <x:c r="B82" s="18"/>
      <x:c r="C82" s="18"/>
      <x:c r="D82" s="18"/>
      <x:c r="E82" s="18"/>
      <x:c r="F82" s="18"/>
      <x:c r="G82" s="18"/>
      <x:c r="H82" s="18"/>
      <x:c r="I82" s="18"/>
      <x:c r="J82" s="18"/>
      <x:c r="K82" s="18"/>
      <x:c r="L82" s="23"/>
      <x:c r="M82" s="18"/>
      <x:c r="N82" s="19" t="n">
        <x:f>IFERROR(XLOOKUP(M82,'01_REGLAS_ACCIONES'!$A:$A,'01_REGLAS_ACCIONES'!$Q:$Q,0),0)</x:f>
        <x:v>0</x:v>
      </x:c>
      <x:c r="O82" s="18" t="str">
        <x:f>IFERROR(XLOOKUP(M82,'01_REGLAS_ACCIONES'!$A:$A,'01_REGLAS_ACCIONES'!$P:$P,"SIN_ACCION"),"SIN_ACCION")</x:f>
        <x:v>SIN_ACCION</x:v>
      </x:c>
      <x:c r="P82" s="23" t="n">
        <x:f>IF(O82="DESCUENTO",L82*N82,0)</x:f>
        <x:v>0</x:v>
      </x:c>
      <x:c r="Q82" s="19"/>
      <x:c r="R82" s="23" t="n">
        <x:f>L82*Q82</x:f>
        <x:v>0</x:v>
      </x:c>
      <x:c r="S82" s="23" t="n">
        <x:f>R82-P82</x:f>
        <x:v>0</x:v>
      </x:c>
      <x:c r="T82" s="18" t="str">
        <x:f>IF(M82="","SIN_ACCION",IF(ABS(S82)&lt;1,"OK",IF(S82&gt;0,"EXCESO_GASTO","MENOR_GASTO")))</x:f>
        <x:v>SIN_ACCION</x:v>
      </x:c>
      <x:c r="U82" s="18"/>
    </x:row>
    <x:row r="83" ht="15" hidden="0" customHeight="1">
      <x:c r="A83" s="22"/>
      <x:c r="B83" s="18"/>
      <x:c r="C83" s="18"/>
      <x:c r="D83" s="18"/>
      <x:c r="E83" s="18"/>
      <x:c r="F83" s="18"/>
      <x:c r="G83" s="18"/>
      <x:c r="H83" s="18"/>
      <x:c r="I83" s="18"/>
      <x:c r="J83" s="18"/>
      <x:c r="K83" s="18"/>
      <x:c r="L83" s="23"/>
      <x:c r="M83" s="18"/>
      <x:c r="N83" s="19" t="n">
        <x:f>IFERROR(XLOOKUP(M83,'01_REGLAS_ACCIONES'!$A:$A,'01_REGLAS_ACCIONES'!$Q:$Q,0),0)</x:f>
        <x:v>0</x:v>
      </x:c>
      <x:c r="O83" s="18" t="str">
        <x:f>IFERROR(XLOOKUP(M83,'01_REGLAS_ACCIONES'!$A:$A,'01_REGLAS_ACCIONES'!$P:$P,"SIN_ACCION"),"SIN_ACCION")</x:f>
        <x:v>SIN_ACCION</x:v>
      </x:c>
      <x:c r="P83" s="23" t="n">
        <x:f>IF(O83="DESCUENTO",L83*N83,0)</x:f>
        <x:v>0</x:v>
      </x:c>
      <x:c r="Q83" s="19"/>
      <x:c r="R83" s="23" t="n">
        <x:f>L83*Q83</x:f>
        <x:v>0</x:v>
      </x:c>
      <x:c r="S83" s="23" t="n">
        <x:f>R83-P83</x:f>
        <x:v>0</x:v>
      </x:c>
      <x:c r="T83" s="18" t="str">
        <x:f>IF(M83="","SIN_ACCION",IF(ABS(S83)&lt;1,"OK",IF(S83&gt;0,"EXCESO_GASTO","MENOR_GASTO")))</x:f>
        <x:v>SIN_ACCION</x:v>
      </x:c>
      <x:c r="U83" s="18"/>
    </x:row>
    <x:row r="84" ht="15" hidden="0" customHeight="1">
      <x:c r="A84" s="22"/>
      <x:c r="B84" s="18"/>
      <x:c r="C84" s="18"/>
      <x:c r="D84" s="18"/>
      <x:c r="E84" s="18"/>
      <x:c r="F84" s="18"/>
      <x:c r="G84" s="18"/>
      <x:c r="H84" s="18"/>
      <x:c r="I84" s="18"/>
      <x:c r="J84" s="18"/>
      <x:c r="K84" s="18"/>
      <x:c r="L84" s="23"/>
      <x:c r="M84" s="18"/>
      <x:c r="N84" s="19" t="n">
        <x:f>IFERROR(XLOOKUP(M84,'01_REGLAS_ACCIONES'!$A:$A,'01_REGLAS_ACCIONES'!$Q:$Q,0),0)</x:f>
        <x:v>0</x:v>
      </x:c>
      <x:c r="O84" s="18" t="str">
        <x:f>IFERROR(XLOOKUP(M84,'01_REGLAS_ACCIONES'!$A:$A,'01_REGLAS_ACCIONES'!$P:$P,"SIN_ACCION"),"SIN_ACCION")</x:f>
        <x:v>SIN_ACCION</x:v>
      </x:c>
      <x:c r="P84" s="23" t="n">
        <x:f>IF(O84="DESCUENTO",L84*N84,0)</x:f>
        <x:v>0</x:v>
      </x:c>
      <x:c r="Q84" s="19"/>
      <x:c r="R84" s="23" t="n">
        <x:f>L84*Q84</x:f>
        <x:v>0</x:v>
      </x:c>
      <x:c r="S84" s="23" t="n">
        <x:f>R84-P84</x:f>
        <x:v>0</x:v>
      </x:c>
      <x:c r="T84" s="18" t="str">
        <x:f>IF(M84="","SIN_ACCION",IF(ABS(S84)&lt;1,"OK",IF(S84&gt;0,"EXCESO_GASTO","MENOR_GASTO")))</x:f>
        <x:v>SIN_ACCION</x:v>
      </x:c>
      <x:c r="U84" s="18"/>
    </x:row>
    <x:row r="85" ht="15" hidden="0" customHeight="1">
      <x:c r="A85" s="22"/>
      <x:c r="B85" s="18"/>
      <x:c r="C85" s="18"/>
      <x:c r="D85" s="18"/>
      <x:c r="E85" s="18"/>
      <x:c r="F85" s="18"/>
      <x:c r="G85" s="18"/>
      <x:c r="H85" s="18"/>
      <x:c r="I85" s="18"/>
      <x:c r="J85" s="18"/>
      <x:c r="K85" s="18"/>
      <x:c r="L85" s="23"/>
      <x:c r="M85" s="18"/>
      <x:c r="N85" s="19" t="n">
        <x:f>IFERROR(XLOOKUP(M85,'01_REGLAS_ACCIONES'!$A:$A,'01_REGLAS_ACCIONES'!$Q:$Q,0),0)</x:f>
        <x:v>0</x:v>
      </x:c>
      <x:c r="O85" s="18" t="str">
        <x:f>IFERROR(XLOOKUP(M85,'01_REGLAS_ACCIONES'!$A:$A,'01_REGLAS_ACCIONES'!$P:$P,"SIN_ACCION"),"SIN_ACCION")</x:f>
        <x:v>SIN_ACCION</x:v>
      </x:c>
      <x:c r="P85" s="23" t="n">
        <x:f>IF(O85="DESCUENTO",L85*N85,0)</x:f>
        <x:v>0</x:v>
      </x:c>
      <x:c r="Q85" s="19"/>
      <x:c r="R85" s="23" t="n">
        <x:f>L85*Q85</x:f>
        <x:v>0</x:v>
      </x:c>
      <x:c r="S85" s="23" t="n">
        <x:f>R85-P85</x:f>
        <x:v>0</x:v>
      </x:c>
      <x:c r="T85" s="18" t="str">
        <x:f>IF(M85="","SIN_ACCION",IF(ABS(S85)&lt;1,"OK",IF(S85&gt;0,"EXCESO_GASTO","MENOR_GASTO")))</x:f>
        <x:v>SIN_ACCION</x:v>
      </x:c>
      <x:c r="U85" s="18"/>
    </x:row>
    <x:row r="86" ht="15" hidden="0" customHeight="1">
      <x:c r="A86" s="22"/>
      <x:c r="B86" s="18"/>
      <x:c r="C86" s="18"/>
      <x:c r="D86" s="18"/>
      <x:c r="E86" s="18"/>
      <x:c r="F86" s="18"/>
      <x:c r="G86" s="18"/>
      <x:c r="H86" s="18"/>
      <x:c r="I86" s="18"/>
      <x:c r="J86" s="18"/>
      <x:c r="K86" s="18"/>
      <x:c r="L86" s="23"/>
      <x:c r="M86" s="18"/>
      <x:c r="N86" s="19" t="n">
        <x:f>IFERROR(XLOOKUP(M86,'01_REGLAS_ACCIONES'!$A:$A,'01_REGLAS_ACCIONES'!$Q:$Q,0),0)</x:f>
        <x:v>0</x:v>
      </x:c>
      <x:c r="O86" s="18" t="str">
        <x:f>IFERROR(XLOOKUP(M86,'01_REGLAS_ACCIONES'!$A:$A,'01_REGLAS_ACCIONES'!$P:$P,"SIN_ACCION"),"SIN_ACCION")</x:f>
        <x:v>SIN_ACCION</x:v>
      </x:c>
      <x:c r="P86" s="23" t="n">
        <x:f>IF(O86="DESCUENTO",L86*N86,0)</x:f>
        <x:v>0</x:v>
      </x:c>
      <x:c r="Q86" s="19"/>
      <x:c r="R86" s="23" t="n">
        <x:f>L86*Q86</x:f>
        <x:v>0</x:v>
      </x:c>
      <x:c r="S86" s="23" t="n">
        <x:f>R86-P86</x:f>
        <x:v>0</x:v>
      </x:c>
      <x:c r="T86" s="18" t="str">
        <x:f>IF(M86="","SIN_ACCION",IF(ABS(S86)&lt;1,"OK",IF(S86&gt;0,"EXCESO_GASTO","MENOR_GASTO")))</x:f>
        <x:v>SIN_ACCION</x:v>
      </x:c>
      <x:c r="U86" s="18"/>
    </x:row>
    <x:row r="87" ht="15" hidden="0" customHeight="1">
      <x:c r="A87" s="22"/>
      <x:c r="B87" s="18"/>
      <x:c r="C87" s="18"/>
      <x:c r="D87" s="18"/>
      <x:c r="E87" s="18"/>
      <x:c r="F87" s="18"/>
      <x:c r="G87" s="18"/>
      <x:c r="H87" s="18"/>
      <x:c r="I87" s="18"/>
      <x:c r="J87" s="18"/>
      <x:c r="K87" s="18"/>
      <x:c r="L87" s="23"/>
      <x:c r="M87" s="18"/>
      <x:c r="N87" s="19" t="n">
        <x:f>IFERROR(XLOOKUP(M87,'01_REGLAS_ACCIONES'!$A:$A,'01_REGLAS_ACCIONES'!$Q:$Q,0),0)</x:f>
        <x:v>0</x:v>
      </x:c>
      <x:c r="O87" s="18" t="str">
        <x:f>IFERROR(XLOOKUP(M87,'01_REGLAS_ACCIONES'!$A:$A,'01_REGLAS_ACCIONES'!$P:$P,"SIN_ACCION"),"SIN_ACCION")</x:f>
        <x:v>SIN_ACCION</x:v>
      </x:c>
      <x:c r="P87" s="23" t="n">
        <x:f>IF(O87="DESCUENTO",L87*N87,0)</x:f>
        <x:v>0</x:v>
      </x:c>
      <x:c r="Q87" s="19"/>
      <x:c r="R87" s="23" t="n">
        <x:f>L87*Q87</x:f>
        <x:v>0</x:v>
      </x:c>
      <x:c r="S87" s="23" t="n">
        <x:f>R87-P87</x:f>
        <x:v>0</x:v>
      </x:c>
      <x:c r="T87" s="18" t="str">
        <x:f>IF(M87="","SIN_ACCION",IF(ABS(S87)&lt;1,"OK",IF(S87&gt;0,"EXCESO_GASTO","MENOR_GASTO")))</x:f>
        <x:v>SIN_ACCION</x:v>
      </x:c>
      <x:c r="U87" s="18"/>
    </x:row>
    <x:row r="88" ht="15" hidden="0" customHeight="1">
      <x:c r="A88" s="22"/>
      <x:c r="B88" s="18"/>
      <x:c r="C88" s="18"/>
      <x:c r="D88" s="18"/>
      <x:c r="E88" s="18"/>
      <x:c r="F88" s="18"/>
      <x:c r="G88" s="18"/>
      <x:c r="H88" s="18"/>
      <x:c r="I88" s="18"/>
      <x:c r="J88" s="18"/>
      <x:c r="K88" s="18"/>
      <x:c r="L88" s="23"/>
      <x:c r="M88" s="18"/>
      <x:c r="N88" s="19" t="n">
        <x:f>IFERROR(XLOOKUP(M88,'01_REGLAS_ACCIONES'!$A:$A,'01_REGLAS_ACCIONES'!$Q:$Q,0),0)</x:f>
        <x:v>0</x:v>
      </x:c>
      <x:c r="O88" s="18" t="str">
        <x:f>IFERROR(XLOOKUP(M88,'01_REGLAS_ACCIONES'!$A:$A,'01_REGLAS_ACCIONES'!$P:$P,"SIN_ACCION"),"SIN_ACCION")</x:f>
        <x:v>SIN_ACCION</x:v>
      </x:c>
      <x:c r="P88" s="23" t="n">
        <x:f>IF(O88="DESCUENTO",L88*N88,0)</x:f>
        <x:v>0</x:v>
      </x:c>
      <x:c r="Q88" s="19"/>
      <x:c r="R88" s="23" t="n">
        <x:f>L88*Q88</x:f>
        <x:v>0</x:v>
      </x:c>
      <x:c r="S88" s="23" t="n">
        <x:f>R88-P88</x:f>
        <x:v>0</x:v>
      </x:c>
      <x:c r="T88" s="18" t="str">
        <x:f>IF(M88="","SIN_ACCION",IF(ABS(S88)&lt;1,"OK",IF(S88&gt;0,"EXCESO_GASTO","MENOR_GASTO")))</x:f>
        <x:v>SIN_ACCION</x:v>
      </x:c>
      <x:c r="U88" s="18"/>
    </x:row>
    <x:row r="89" ht="15" hidden="0" customHeight="1">
      <x:c r="A89" s="22"/>
      <x:c r="B89" s="18"/>
      <x:c r="C89" s="18"/>
      <x:c r="D89" s="18"/>
      <x:c r="E89" s="18"/>
      <x:c r="F89" s="18"/>
      <x:c r="G89" s="18"/>
      <x:c r="H89" s="18"/>
      <x:c r="I89" s="18"/>
      <x:c r="J89" s="18"/>
      <x:c r="K89" s="18"/>
      <x:c r="L89" s="23"/>
      <x:c r="M89" s="18"/>
      <x:c r="N89" s="19" t="n">
        <x:f>IFERROR(XLOOKUP(M89,'01_REGLAS_ACCIONES'!$A:$A,'01_REGLAS_ACCIONES'!$Q:$Q,0),0)</x:f>
        <x:v>0</x:v>
      </x:c>
      <x:c r="O89" s="18" t="str">
        <x:f>IFERROR(XLOOKUP(M89,'01_REGLAS_ACCIONES'!$A:$A,'01_REGLAS_ACCIONES'!$P:$P,"SIN_ACCION"),"SIN_ACCION")</x:f>
        <x:v>SIN_ACCION</x:v>
      </x:c>
      <x:c r="P89" s="23" t="n">
        <x:f>IF(O89="DESCUENTO",L89*N89,0)</x:f>
        <x:v>0</x:v>
      </x:c>
      <x:c r="Q89" s="19"/>
      <x:c r="R89" s="23" t="n">
        <x:f>L89*Q89</x:f>
        <x:v>0</x:v>
      </x:c>
      <x:c r="S89" s="23" t="n">
        <x:f>R89-P89</x:f>
        <x:v>0</x:v>
      </x:c>
      <x:c r="T89" s="18" t="str">
        <x:f>IF(M89="","SIN_ACCION",IF(ABS(S89)&lt;1,"OK",IF(S89&gt;0,"EXCESO_GASTO","MENOR_GASTO")))</x:f>
        <x:v>SIN_ACCION</x:v>
      </x:c>
      <x:c r="U89" s="18"/>
    </x:row>
    <x:row r="90" ht="15" hidden="0" customHeight="1">
      <x:c r="A90" s="22"/>
      <x:c r="B90" s="18"/>
      <x:c r="C90" s="18"/>
      <x:c r="D90" s="18"/>
      <x:c r="E90" s="18"/>
      <x:c r="F90" s="18"/>
      <x:c r="G90" s="18"/>
      <x:c r="H90" s="18"/>
      <x:c r="I90" s="18"/>
      <x:c r="J90" s="18"/>
      <x:c r="K90" s="18"/>
      <x:c r="L90" s="23"/>
      <x:c r="M90" s="18"/>
      <x:c r="N90" s="19" t="n">
        <x:f>IFERROR(XLOOKUP(M90,'01_REGLAS_ACCIONES'!$A:$A,'01_REGLAS_ACCIONES'!$Q:$Q,0),0)</x:f>
        <x:v>0</x:v>
      </x:c>
      <x:c r="O90" s="18" t="str">
        <x:f>IFERROR(XLOOKUP(M90,'01_REGLAS_ACCIONES'!$A:$A,'01_REGLAS_ACCIONES'!$P:$P,"SIN_ACCION"),"SIN_ACCION")</x:f>
        <x:v>SIN_ACCION</x:v>
      </x:c>
      <x:c r="P90" s="23" t="n">
        <x:f>IF(O90="DESCUENTO",L90*N90,0)</x:f>
        <x:v>0</x:v>
      </x:c>
      <x:c r="Q90" s="19"/>
      <x:c r="R90" s="23" t="n">
        <x:f>L90*Q90</x:f>
        <x:v>0</x:v>
      </x:c>
      <x:c r="S90" s="23" t="n">
        <x:f>R90-P90</x:f>
        <x:v>0</x:v>
      </x:c>
      <x:c r="T90" s="18" t="str">
        <x:f>IF(M90="","SIN_ACCION",IF(ABS(S90)&lt;1,"OK",IF(S90&gt;0,"EXCESO_GASTO","MENOR_GASTO")))</x:f>
        <x:v>SIN_ACCION</x:v>
      </x:c>
      <x:c r="U90" s="18"/>
    </x:row>
    <x:row r="91" ht="15" hidden="0" customHeight="1">
      <x:c r="A91" s="22"/>
      <x:c r="B91" s="18"/>
      <x:c r="C91" s="18"/>
      <x:c r="D91" s="18"/>
      <x:c r="E91" s="18"/>
      <x:c r="F91" s="18"/>
      <x:c r="G91" s="18"/>
      <x:c r="H91" s="18"/>
      <x:c r="I91" s="18"/>
      <x:c r="J91" s="18"/>
      <x:c r="K91" s="18"/>
      <x:c r="L91" s="23"/>
      <x:c r="M91" s="18"/>
      <x:c r="N91" s="19" t="n">
        <x:f>IFERROR(XLOOKUP(M91,'01_REGLAS_ACCIONES'!$A:$A,'01_REGLAS_ACCIONES'!$Q:$Q,0),0)</x:f>
        <x:v>0</x:v>
      </x:c>
      <x:c r="O91" s="18" t="str">
        <x:f>IFERROR(XLOOKUP(M91,'01_REGLAS_ACCIONES'!$A:$A,'01_REGLAS_ACCIONES'!$P:$P,"SIN_ACCION"),"SIN_ACCION")</x:f>
        <x:v>SIN_ACCION</x:v>
      </x:c>
      <x:c r="P91" s="23" t="n">
        <x:f>IF(O91="DESCUENTO",L91*N91,0)</x:f>
        <x:v>0</x:v>
      </x:c>
      <x:c r="Q91" s="19"/>
      <x:c r="R91" s="23" t="n">
        <x:f>L91*Q91</x:f>
        <x:v>0</x:v>
      </x:c>
      <x:c r="S91" s="23" t="n">
        <x:f>R91-P91</x:f>
        <x:v>0</x:v>
      </x:c>
      <x:c r="T91" s="18" t="str">
        <x:f>IF(M91="","SIN_ACCION",IF(ABS(S91)&lt;1,"OK",IF(S91&gt;0,"EXCESO_GASTO","MENOR_GASTO")))</x:f>
        <x:v>SIN_ACCION</x:v>
      </x:c>
      <x:c r="U91" s="18"/>
    </x:row>
    <x:row r="92" ht="15" hidden="0" customHeight="1">
      <x:c r="A92" s="22"/>
      <x:c r="B92" s="18"/>
      <x:c r="C92" s="18"/>
      <x:c r="D92" s="18"/>
      <x:c r="E92" s="18"/>
      <x:c r="F92" s="18"/>
      <x:c r="G92" s="18"/>
      <x:c r="H92" s="18"/>
      <x:c r="I92" s="18"/>
      <x:c r="J92" s="18"/>
      <x:c r="K92" s="18"/>
      <x:c r="L92" s="23"/>
      <x:c r="M92" s="18"/>
      <x:c r="N92" s="19" t="n">
        <x:f>IFERROR(XLOOKUP(M92,'01_REGLAS_ACCIONES'!$A:$A,'01_REGLAS_ACCIONES'!$Q:$Q,0),0)</x:f>
        <x:v>0</x:v>
      </x:c>
      <x:c r="O92" s="18" t="str">
        <x:f>IFERROR(XLOOKUP(M92,'01_REGLAS_ACCIONES'!$A:$A,'01_REGLAS_ACCIONES'!$P:$P,"SIN_ACCION"),"SIN_ACCION")</x:f>
        <x:v>SIN_ACCION</x:v>
      </x:c>
      <x:c r="P92" s="23" t="n">
        <x:f>IF(O92="DESCUENTO",L92*N92,0)</x:f>
        <x:v>0</x:v>
      </x:c>
      <x:c r="Q92" s="19"/>
      <x:c r="R92" s="23" t="n">
        <x:f>L92*Q92</x:f>
        <x:v>0</x:v>
      </x:c>
      <x:c r="S92" s="23" t="n">
        <x:f>R92-P92</x:f>
        <x:v>0</x:v>
      </x:c>
      <x:c r="T92" s="18" t="str">
        <x:f>IF(M92="","SIN_ACCION",IF(ABS(S92)&lt;1,"OK",IF(S92&gt;0,"EXCESO_GASTO","MENOR_GASTO")))</x:f>
        <x:v>SIN_ACCION</x:v>
      </x:c>
      <x:c r="U92" s="18"/>
    </x:row>
    <x:row r="93" ht="15" hidden="0" customHeight="1">
      <x:c r="A93" s="22"/>
      <x:c r="B93" s="18"/>
      <x:c r="C93" s="18"/>
      <x:c r="D93" s="18"/>
      <x:c r="E93" s="18"/>
      <x:c r="F93" s="18"/>
      <x:c r="G93" s="18"/>
      <x:c r="H93" s="18"/>
      <x:c r="I93" s="18"/>
      <x:c r="J93" s="18"/>
      <x:c r="K93" s="18"/>
      <x:c r="L93" s="23"/>
      <x:c r="M93" s="18"/>
      <x:c r="N93" s="19" t="n">
        <x:f>IFERROR(XLOOKUP(M93,'01_REGLAS_ACCIONES'!$A:$A,'01_REGLAS_ACCIONES'!$Q:$Q,0),0)</x:f>
        <x:v>0</x:v>
      </x:c>
      <x:c r="O93" s="18" t="str">
        <x:f>IFERROR(XLOOKUP(M93,'01_REGLAS_ACCIONES'!$A:$A,'01_REGLAS_ACCIONES'!$P:$P,"SIN_ACCION"),"SIN_ACCION")</x:f>
        <x:v>SIN_ACCION</x:v>
      </x:c>
      <x:c r="P93" s="23" t="n">
        <x:f>IF(O93="DESCUENTO",L93*N93,0)</x:f>
        <x:v>0</x:v>
      </x:c>
      <x:c r="Q93" s="19"/>
      <x:c r="R93" s="23" t="n">
        <x:f>L93*Q93</x:f>
        <x:v>0</x:v>
      </x:c>
      <x:c r="S93" s="23" t="n">
        <x:f>R93-P93</x:f>
        <x:v>0</x:v>
      </x:c>
      <x:c r="T93" s="18" t="str">
        <x:f>IF(M93="","SIN_ACCION",IF(ABS(S93)&lt;1,"OK",IF(S93&gt;0,"EXCESO_GASTO","MENOR_GASTO")))</x:f>
        <x:v>SIN_ACCION</x:v>
      </x:c>
      <x:c r="U93" s="18"/>
    </x:row>
    <x:row r="94" ht="15" hidden="0" customHeight="1">
      <x:c r="A94" s="22"/>
      <x:c r="B94" s="18"/>
      <x:c r="C94" s="18"/>
      <x:c r="D94" s="18"/>
      <x:c r="E94" s="18"/>
      <x:c r="F94" s="18"/>
      <x:c r="G94" s="18"/>
      <x:c r="H94" s="18"/>
      <x:c r="I94" s="18"/>
      <x:c r="J94" s="18"/>
      <x:c r="K94" s="18"/>
      <x:c r="L94" s="23"/>
      <x:c r="M94" s="18"/>
      <x:c r="N94" s="19" t="n">
        <x:f>IFERROR(XLOOKUP(M94,'01_REGLAS_ACCIONES'!$A:$A,'01_REGLAS_ACCIONES'!$Q:$Q,0),0)</x:f>
        <x:v>0</x:v>
      </x:c>
      <x:c r="O94" s="18" t="str">
        <x:f>IFERROR(XLOOKUP(M94,'01_REGLAS_ACCIONES'!$A:$A,'01_REGLAS_ACCIONES'!$P:$P,"SIN_ACCION"),"SIN_ACCION")</x:f>
        <x:v>SIN_ACCION</x:v>
      </x:c>
      <x:c r="P94" s="23" t="n">
        <x:f>IF(O94="DESCUENTO",L94*N94,0)</x:f>
        <x:v>0</x:v>
      </x:c>
      <x:c r="Q94" s="19"/>
      <x:c r="R94" s="23" t="n">
        <x:f>L94*Q94</x:f>
        <x:v>0</x:v>
      </x:c>
      <x:c r="S94" s="23" t="n">
        <x:f>R94-P94</x:f>
        <x:v>0</x:v>
      </x:c>
      <x:c r="T94" s="18" t="str">
        <x:f>IF(M94="","SIN_ACCION",IF(ABS(S94)&lt;1,"OK",IF(S94&gt;0,"EXCESO_GASTO","MENOR_GASTO")))</x:f>
        <x:v>SIN_ACCION</x:v>
      </x:c>
      <x:c r="U94" s="18"/>
    </x:row>
    <x:row r="95" ht="15" hidden="0" customHeight="1">
      <x:c r="A95" s="22"/>
      <x:c r="B95" s="18"/>
      <x:c r="C95" s="18"/>
      <x:c r="D95" s="18"/>
      <x:c r="E95" s="18"/>
      <x:c r="F95" s="18"/>
      <x:c r="G95" s="18"/>
      <x:c r="H95" s="18"/>
      <x:c r="I95" s="18"/>
      <x:c r="J95" s="18"/>
      <x:c r="K95" s="18"/>
      <x:c r="L95" s="23"/>
      <x:c r="M95" s="18"/>
      <x:c r="N95" s="19" t="n">
        <x:f>IFERROR(XLOOKUP(M95,'01_REGLAS_ACCIONES'!$A:$A,'01_REGLAS_ACCIONES'!$Q:$Q,0),0)</x:f>
        <x:v>0</x:v>
      </x:c>
      <x:c r="O95" s="18" t="str">
        <x:f>IFERROR(XLOOKUP(M95,'01_REGLAS_ACCIONES'!$A:$A,'01_REGLAS_ACCIONES'!$P:$P,"SIN_ACCION"),"SIN_ACCION")</x:f>
        <x:v>SIN_ACCION</x:v>
      </x:c>
      <x:c r="P95" s="23" t="n">
        <x:f>IF(O95="DESCUENTO",L95*N95,0)</x:f>
        <x:v>0</x:v>
      </x:c>
      <x:c r="Q95" s="19"/>
      <x:c r="R95" s="23" t="n">
        <x:f>L95*Q95</x:f>
        <x:v>0</x:v>
      </x:c>
      <x:c r="S95" s="23" t="n">
        <x:f>R95-P95</x:f>
        <x:v>0</x:v>
      </x:c>
      <x:c r="T95" s="18" t="str">
        <x:f>IF(M95="","SIN_ACCION",IF(ABS(S95)&lt;1,"OK",IF(S95&gt;0,"EXCESO_GASTO","MENOR_GASTO")))</x:f>
        <x:v>SIN_ACCION</x:v>
      </x:c>
      <x:c r="U95" s="18"/>
    </x:row>
    <x:row r="96" ht="15" hidden="0" customHeight="1">
      <x:c r="A96" s="22"/>
      <x:c r="B96" s="18"/>
      <x:c r="C96" s="18"/>
      <x:c r="D96" s="18"/>
      <x:c r="E96" s="18"/>
      <x:c r="F96" s="18"/>
      <x:c r="G96" s="18"/>
      <x:c r="H96" s="18"/>
      <x:c r="I96" s="18"/>
      <x:c r="J96" s="18"/>
      <x:c r="K96" s="18"/>
      <x:c r="L96" s="23"/>
      <x:c r="M96" s="18"/>
      <x:c r="N96" s="19" t="n">
        <x:f>IFERROR(XLOOKUP(M96,'01_REGLAS_ACCIONES'!$A:$A,'01_REGLAS_ACCIONES'!$Q:$Q,0),0)</x:f>
        <x:v>0</x:v>
      </x:c>
      <x:c r="O96" s="18" t="str">
        <x:f>IFERROR(XLOOKUP(M96,'01_REGLAS_ACCIONES'!$A:$A,'01_REGLAS_ACCIONES'!$P:$P,"SIN_ACCION"),"SIN_ACCION")</x:f>
        <x:v>SIN_ACCION</x:v>
      </x:c>
      <x:c r="P96" s="23" t="n">
        <x:f>IF(O96="DESCUENTO",L96*N96,0)</x:f>
        <x:v>0</x:v>
      </x:c>
      <x:c r="Q96" s="19"/>
      <x:c r="R96" s="23" t="n">
        <x:f>L96*Q96</x:f>
        <x:v>0</x:v>
      </x:c>
      <x:c r="S96" s="23" t="n">
        <x:f>R96-P96</x:f>
        <x:v>0</x:v>
      </x:c>
      <x:c r="T96" s="18" t="str">
        <x:f>IF(M96="","SIN_ACCION",IF(ABS(S96)&lt;1,"OK",IF(S96&gt;0,"EXCESO_GASTO","MENOR_GASTO")))</x:f>
        <x:v>SIN_ACCION</x:v>
      </x:c>
      <x:c r="U96" s="18"/>
    </x:row>
    <x:row r="97" ht="15" hidden="0" customHeight="1">
      <x:c r="A97" s="22"/>
      <x:c r="B97" s="18"/>
      <x:c r="C97" s="18"/>
      <x:c r="D97" s="18"/>
      <x:c r="E97" s="18"/>
      <x:c r="F97" s="18"/>
      <x:c r="G97" s="18"/>
      <x:c r="H97" s="18"/>
      <x:c r="I97" s="18"/>
      <x:c r="J97" s="18"/>
      <x:c r="K97" s="18"/>
      <x:c r="L97" s="23"/>
      <x:c r="M97" s="18"/>
      <x:c r="N97" s="19" t="n">
        <x:f>IFERROR(XLOOKUP(M97,'01_REGLAS_ACCIONES'!$A:$A,'01_REGLAS_ACCIONES'!$Q:$Q,0),0)</x:f>
        <x:v>0</x:v>
      </x:c>
      <x:c r="O97" s="18" t="str">
        <x:f>IFERROR(XLOOKUP(M97,'01_REGLAS_ACCIONES'!$A:$A,'01_REGLAS_ACCIONES'!$P:$P,"SIN_ACCION"),"SIN_ACCION")</x:f>
        <x:v>SIN_ACCION</x:v>
      </x:c>
      <x:c r="P97" s="23" t="n">
        <x:f>IF(O97="DESCUENTO",L97*N97,0)</x:f>
        <x:v>0</x:v>
      </x:c>
      <x:c r="Q97" s="19"/>
      <x:c r="R97" s="23" t="n">
        <x:f>L97*Q97</x:f>
        <x:v>0</x:v>
      </x:c>
      <x:c r="S97" s="23" t="n">
        <x:f>R97-P97</x:f>
        <x:v>0</x:v>
      </x:c>
      <x:c r="T97" s="18" t="str">
        <x:f>IF(M97="","SIN_ACCION",IF(ABS(S97)&lt;1,"OK",IF(S97&gt;0,"EXCESO_GASTO","MENOR_GASTO")))</x:f>
        <x:v>SIN_ACCION</x:v>
      </x:c>
      <x:c r="U97" s="18"/>
    </x:row>
    <x:row r="98" ht="15" hidden="0" customHeight="1">
      <x:c r="A98" s="22"/>
      <x:c r="B98" s="18"/>
      <x:c r="C98" s="18"/>
      <x:c r="D98" s="18"/>
      <x:c r="E98" s="18"/>
      <x:c r="F98" s="18"/>
      <x:c r="G98" s="18"/>
      <x:c r="H98" s="18"/>
      <x:c r="I98" s="18"/>
      <x:c r="J98" s="18"/>
      <x:c r="K98" s="18"/>
      <x:c r="L98" s="23"/>
      <x:c r="M98" s="18"/>
      <x:c r="N98" s="19" t="n">
        <x:f>IFERROR(XLOOKUP(M98,'01_REGLAS_ACCIONES'!$A:$A,'01_REGLAS_ACCIONES'!$Q:$Q,0),0)</x:f>
        <x:v>0</x:v>
      </x:c>
      <x:c r="O98" s="18" t="str">
        <x:f>IFERROR(XLOOKUP(M98,'01_REGLAS_ACCIONES'!$A:$A,'01_REGLAS_ACCIONES'!$P:$P,"SIN_ACCION"),"SIN_ACCION")</x:f>
        <x:v>SIN_ACCION</x:v>
      </x:c>
      <x:c r="P98" s="23" t="n">
        <x:f>IF(O98="DESCUENTO",L98*N98,0)</x:f>
        <x:v>0</x:v>
      </x:c>
      <x:c r="Q98" s="19"/>
      <x:c r="R98" s="23" t="n">
        <x:f>L98*Q98</x:f>
        <x:v>0</x:v>
      </x:c>
      <x:c r="S98" s="23" t="n">
        <x:f>R98-P98</x:f>
        <x:v>0</x:v>
      </x:c>
      <x:c r="T98" s="18" t="str">
        <x:f>IF(M98="","SIN_ACCION",IF(ABS(S98)&lt;1,"OK",IF(S98&gt;0,"EXCESO_GASTO","MENOR_GASTO")))</x:f>
        <x:v>SIN_ACCION</x:v>
      </x:c>
      <x:c r="U98" s="18"/>
    </x:row>
    <x:row r="99" ht="15" hidden="0" customHeight="1">
      <x:c r="A99" s="22"/>
      <x:c r="B99" s="18"/>
      <x:c r="C99" s="18"/>
      <x:c r="D99" s="18"/>
      <x:c r="E99" s="18"/>
      <x:c r="F99" s="18"/>
      <x:c r="G99" s="18"/>
      <x:c r="H99" s="18"/>
      <x:c r="I99" s="18"/>
      <x:c r="J99" s="18"/>
      <x:c r="K99" s="18"/>
      <x:c r="L99" s="23"/>
      <x:c r="M99" s="18"/>
      <x:c r="N99" s="19" t="n">
        <x:f>IFERROR(XLOOKUP(M99,'01_REGLAS_ACCIONES'!$A:$A,'01_REGLAS_ACCIONES'!$Q:$Q,0),0)</x:f>
        <x:v>0</x:v>
      </x:c>
      <x:c r="O99" s="18" t="str">
        <x:f>IFERROR(XLOOKUP(M99,'01_REGLAS_ACCIONES'!$A:$A,'01_REGLAS_ACCIONES'!$P:$P,"SIN_ACCION"),"SIN_ACCION")</x:f>
        <x:v>SIN_ACCION</x:v>
      </x:c>
      <x:c r="P99" s="23" t="n">
        <x:f>IF(O99="DESCUENTO",L99*N99,0)</x:f>
        <x:v>0</x:v>
      </x:c>
      <x:c r="Q99" s="19"/>
      <x:c r="R99" s="23" t="n">
        <x:f>L99*Q99</x:f>
        <x:v>0</x:v>
      </x:c>
      <x:c r="S99" s="23" t="n">
        <x:f>R99-P99</x:f>
        <x:v>0</x:v>
      </x:c>
      <x:c r="T99" s="18" t="str">
        <x:f>IF(M99="","SIN_ACCION",IF(ABS(S99)&lt;1,"OK",IF(S99&gt;0,"EXCESO_GASTO","MENOR_GASTO")))</x:f>
        <x:v>SIN_ACCION</x:v>
      </x:c>
      <x:c r="U99" s="18"/>
    </x:row>
    <x:row r="100" ht="15" hidden="0" customHeight="1">
      <x:c r="A100" s="22"/>
      <x:c r="B100" s="18"/>
      <x:c r="C100" s="18"/>
      <x:c r="D100" s="18"/>
      <x:c r="E100" s="18"/>
      <x:c r="F100" s="18"/>
      <x:c r="G100" s="18"/>
      <x:c r="H100" s="18"/>
      <x:c r="I100" s="18"/>
      <x:c r="J100" s="18"/>
      <x:c r="K100" s="18"/>
      <x:c r="L100" s="23"/>
      <x:c r="M100" s="18"/>
      <x:c r="N100" s="19" t="n">
        <x:f>IFERROR(XLOOKUP(M100,'01_REGLAS_ACCIONES'!$A:$A,'01_REGLAS_ACCIONES'!$Q:$Q,0),0)</x:f>
        <x:v>0</x:v>
      </x:c>
      <x:c r="O100" s="18" t="str">
        <x:f>IFERROR(XLOOKUP(M100,'01_REGLAS_ACCIONES'!$A:$A,'01_REGLAS_ACCIONES'!$P:$P,"SIN_ACCION"),"SIN_ACCION")</x:f>
        <x:v>SIN_ACCION</x:v>
      </x:c>
      <x:c r="P100" s="23" t="n">
        <x:f>IF(O100="DESCUENTO",L100*N100,0)</x:f>
        <x:v>0</x:v>
      </x:c>
      <x:c r="Q100" s="19"/>
      <x:c r="R100" s="23" t="n">
        <x:f>L100*Q100</x:f>
        <x:v>0</x:v>
      </x:c>
      <x:c r="S100" s="23" t="n">
        <x:f>R100-P100</x:f>
        <x:v>0</x:v>
      </x:c>
      <x:c r="T100" s="18" t="str">
        <x:f>IF(M100="","SIN_ACCION",IF(ABS(S100)&lt;1,"OK",IF(S100&gt;0,"EXCESO_GASTO","MENOR_GASTO")))</x:f>
        <x:v>SIN_ACCION</x:v>
      </x:c>
      <x:c r="U100" s="18"/>
    </x:row>
    <x:row r="101" ht="15" hidden="0" customHeight="1">
      <x:c r="A101" s="22"/>
      <x:c r="B101" s="18"/>
      <x:c r="C101" s="18"/>
      <x:c r="D101" s="18"/>
      <x:c r="E101" s="18"/>
      <x:c r="F101" s="18"/>
      <x:c r="G101" s="18"/>
      <x:c r="H101" s="18"/>
      <x:c r="I101" s="18"/>
      <x:c r="J101" s="18"/>
      <x:c r="K101" s="18"/>
      <x:c r="L101" s="23"/>
      <x:c r="M101" s="18"/>
      <x:c r="N101" s="19" t="n">
        <x:f>IFERROR(XLOOKUP(M101,'01_REGLAS_ACCIONES'!$A:$A,'01_REGLAS_ACCIONES'!$Q:$Q,0),0)</x:f>
        <x:v>0</x:v>
      </x:c>
      <x:c r="O101" s="18" t="str">
        <x:f>IFERROR(XLOOKUP(M101,'01_REGLAS_ACCIONES'!$A:$A,'01_REGLAS_ACCIONES'!$P:$P,"SIN_ACCION"),"SIN_ACCION")</x:f>
        <x:v>SIN_ACCION</x:v>
      </x:c>
      <x:c r="P101" s="23" t="n">
        <x:f>IF(O101="DESCUENTO",L101*N101,0)</x:f>
        <x:v>0</x:v>
      </x:c>
      <x:c r="Q101" s="19"/>
      <x:c r="R101" s="23" t="n">
        <x:f>L101*Q101</x:f>
        <x:v>0</x:v>
      </x:c>
      <x:c r="S101" s="23" t="n">
        <x:f>R101-P101</x:f>
        <x:v>0</x:v>
      </x:c>
      <x:c r="T101" s="18" t="str">
        <x:f>IF(M101="","SIN_ACCION",IF(ABS(S101)&lt;1,"OK",IF(S101&gt;0,"EXCESO_GASTO","MENOR_GASTO")))</x:f>
        <x:v>SIN_ACCION</x:v>
      </x:c>
      <x:c r="U101" s="18"/>
    </x:row>
    <x:row r="102" ht="15" hidden="0" customHeight="1">
      <x:c r="A102" s="22"/>
      <x:c r="B102" s="18"/>
      <x:c r="C102" s="18"/>
      <x:c r="D102" s="18"/>
      <x:c r="E102" s="18"/>
      <x:c r="F102" s="18"/>
      <x:c r="G102" s="18"/>
      <x:c r="H102" s="18"/>
      <x:c r="I102" s="18"/>
      <x:c r="J102" s="18"/>
      <x:c r="K102" s="18"/>
      <x:c r="L102" s="23"/>
      <x:c r="M102" s="18"/>
      <x:c r="N102" s="19" t="n">
        <x:f>IFERROR(XLOOKUP(M102,'01_REGLAS_ACCIONES'!$A:$A,'01_REGLAS_ACCIONES'!$Q:$Q,0),0)</x:f>
        <x:v>0</x:v>
      </x:c>
      <x:c r="O102" s="18" t="str">
        <x:f>IFERROR(XLOOKUP(M102,'01_REGLAS_ACCIONES'!$A:$A,'01_REGLAS_ACCIONES'!$P:$P,"SIN_ACCION"),"SIN_ACCION")</x:f>
        <x:v>SIN_ACCION</x:v>
      </x:c>
      <x:c r="P102" s="23" t="n">
        <x:f>IF(O102="DESCUENTO",L102*N102,0)</x:f>
        <x:v>0</x:v>
      </x:c>
      <x:c r="Q102" s="19"/>
      <x:c r="R102" s="23" t="n">
        <x:f>L102*Q102</x:f>
        <x:v>0</x:v>
      </x:c>
      <x:c r="S102" s="23" t="n">
        <x:f>R102-P102</x:f>
        <x:v>0</x:v>
      </x:c>
      <x:c r="T102" s="18" t="str">
        <x:f>IF(M102="","SIN_ACCION",IF(ABS(S102)&lt;1,"OK",IF(S102&gt;0,"EXCESO_GASTO","MENOR_GASTO")))</x:f>
        <x:v>SIN_ACCION</x:v>
      </x:c>
      <x:c r="U102" s="18"/>
    </x:row>
    <x:row r="103" ht="15" hidden="0" customHeight="1">
      <x:c r="A103" s="22"/>
      <x:c r="B103" s="18"/>
      <x:c r="C103" s="18"/>
      <x:c r="D103" s="18"/>
      <x:c r="E103" s="18"/>
      <x:c r="F103" s="18"/>
      <x:c r="G103" s="18"/>
      <x:c r="H103" s="18"/>
      <x:c r="I103" s="18"/>
      <x:c r="J103" s="18"/>
      <x:c r="K103" s="18"/>
      <x:c r="L103" s="23"/>
      <x:c r="M103" s="18"/>
      <x:c r="N103" s="19" t="n">
        <x:f>IFERROR(XLOOKUP(M103,'01_REGLAS_ACCIONES'!$A:$A,'01_REGLAS_ACCIONES'!$Q:$Q,0),0)</x:f>
        <x:v>0</x:v>
      </x:c>
      <x:c r="O103" s="18" t="str">
        <x:f>IFERROR(XLOOKUP(M103,'01_REGLAS_ACCIONES'!$A:$A,'01_REGLAS_ACCIONES'!$P:$P,"SIN_ACCION"),"SIN_ACCION")</x:f>
        <x:v>SIN_ACCION</x:v>
      </x:c>
      <x:c r="P103" s="23" t="n">
        <x:f>IF(O103="DESCUENTO",L103*N103,0)</x:f>
        <x:v>0</x:v>
      </x:c>
      <x:c r="Q103" s="19"/>
      <x:c r="R103" s="23" t="n">
        <x:f>L103*Q103</x:f>
        <x:v>0</x:v>
      </x:c>
      <x:c r="S103" s="23" t="n">
        <x:f>R103-P103</x:f>
        <x:v>0</x:v>
      </x:c>
      <x:c r="T103" s="18" t="str">
        <x:f>IF(M103="","SIN_ACCION",IF(ABS(S103)&lt;1,"OK",IF(S103&gt;0,"EXCESO_GASTO","MENOR_GASTO")))</x:f>
        <x:v>SIN_ACCION</x:v>
      </x:c>
      <x:c r="U103" s="18"/>
    </x:row>
    <x:row r="104" ht="15" hidden="0" customHeight="1">
      <x:c r="A104" s="22"/>
      <x:c r="B104" s="18"/>
      <x:c r="C104" s="18"/>
      <x:c r="D104" s="18"/>
      <x:c r="E104" s="18"/>
      <x:c r="F104" s="18"/>
      <x:c r="G104" s="18"/>
      <x:c r="H104" s="18"/>
      <x:c r="I104" s="18"/>
      <x:c r="J104" s="18"/>
      <x:c r="K104" s="18"/>
      <x:c r="L104" s="23"/>
      <x:c r="M104" s="18"/>
      <x:c r="N104" s="19" t="n">
        <x:f>IFERROR(XLOOKUP(M104,'01_REGLAS_ACCIONES'!$A:$A,'01_REGLAS_ACCIONES'!$Q:$Q,0),0)</x:f>
        <x:v>0</x:v>
      </x:c>
      <x:c r="O104" s="18" t="str">
        <x:f>IFERROR(XLOOKUP(M104,'01_REGLAS_ACCIONES'!$A:$A,'01_REGLAS_ACCIONES'!$P:$P,"SIN_ACCION"),"SIN_ACCION")</x:f>
        <x:v>SIN_ACCION</x:v>
      </x:c>
      <x:c r="P104" s="23" t="n">
        <x:f>IF(O104="DESCUENTO",L104*N104,0)</x:f>
        <x:v>0</x:v>
      </x:c>
      <x:c r="Q104" s="19"/>
      <x:c r="R104" s="23" t="n">
        <x:f>L104*Q104</x:f>
        <x:v>0</x:v>
      </x:c>
      <x:c r="S104" s="23" t="n">
        <x:f>R104-P104</x:f>
        <x:v>0</x:v>
      </x:c>
      <x:c r="T104" s="18" t="str">
        <x:f>IF(M104="","SIN_ACCION",IF(ABS(S104)&lt;1,"OK",IF(S104&gt;0,"EXCESO_GASTO","MENOR_GASTO")))</x:f>
        <x:v>SIN_ACCION</x:v>
      </x:c>
      <x:c r="U104" s="18"/>
    </x:row>
    <x:row r="105" ht="15" hidden="0" customHeight="1">
      <x:c r="A105" s="22"/>
      <x:c r="B105" s="18"/>
      <x:c r="C105" s="18"/>
      <x:c r="D105" s="18"/>
      <x:c r="E105" s="18"/>
      <x:c r="F105" s="18"/>
      <x:c r="G105" s="18"/>
      <x:c r="H105" s="18"/>
      <x:c r="I105" s="18"/>
      <x:c r="J105" s="18"/>
      <x:c r="K105" s="18"/>
      <x:c r="L105" s="23"/>
      <x:c r="M105" s="18"/>
      <x:c r="N105" s="19" t="n">
        <x:f>IFERROR(XLOOKUP(M105,'01_REGLAS_ACCIONES'!$A:$A,'01_REGLAS_ACCIONES'!$Q:$Q,0),0)</x:f>
        <x:v>0</x:v>
      </x:c>
      <x:c r="O105" s="18" t="str">
        <x:f>IFERROR(XLOOKUP(M105,'01_REGLAS_ACCIONES'!$A:$A,'01_REGLAS_ACCIONES'!$P:$P,"SIN_ACCION"),"SIN_ACCION")</x:f>
        <x:v>SIN_ACCION</x:v>
      </x:c>
      <x:c r="P105" s="23" t="n">
        <x:f>IF(O105="DESCUENTO",L105*N105,0)</x:f>
        <x:v>0</x:v>
      </x:c>
      <x:c r="Q105" s="19"/>
      <x:c r="R105" s="23" t="n">
        <x:f>L105*Q105</x:f>
        <x:v>0</x:v>
      </x:c>
      <x:c r="S105" s="23" t="n">
        <x:f>R105-P105</x:f>
        <x:v>0</x:v>
      </x:c>
      <x:c r="T105" s="18" t="str">
        <x:f>IF(M105="","SIN_ACCION",IF(ABS(S105)&lt;1,"OK",IF(S105&gt;0,"EXCESO_GASTO","MENOR_GASTO")))</x:f>
        <x:v>SIN_ACCION</x:v>
      </x:c>
      <x:c r="U105" s="18"/>
    </x:row>
    <x:row r="106" ht="15" hidden="0" customHeight="1">
      <x:c r="A106" s="22"/>
      <x:c r="B106" s="18"/>
      <x:c r="C106" s="18"/>
      <x:c r="D106" s="18"/>
      <x:c r="E106" s="18"/>
      <x:c r="F106" s="18"/>
      <x:c r="G106" s="18"/>
      <x:c r="H106" s="18"/>
      <x:c r="I106" s="18"/>
      <x:c r="J106" s="18"/>
      <x:c r="K106" s="18"/>
      <x:c r="L106" s="23"/>
      <x:c r="M106" s="18"/>
      <x:c r="N106" s="19" t="n">
        <x:f>IFERROR(XLOOKUP(M106,'01_REGLAS_ACCIONES'!$A:$A,'01_REGLAS_ACCIONES'!$Q:$Q,0),0)</x:f>
        <x:v>0</x:v>
      </x:c>
      <x:c r="O106" s="18" t="str">
        <x:f>IFERROR(XLOOKUP(M106,'01_REGLAS_ACCIONES'!$A:$A,'01_REGLAS_ACCIONES'!$P:$P,"SIN_ACCION"),"SIN_ACCION")</x:f>
        <x:v>SIN_ACCION</x:v>
      </x:c>
      <x:c r="P106" s="23" t="n">
        <x:f>IF(O106="DESCUENTO",L106*N106,0)</x:f>
        <x:v>0</x:v>
      </x:c>
      <x:c r="Q106" s="19"/>
      <x:c r="R106" s="23" t="n">
        <x:f>L106*Q106</x:f>
        <x:v>0</x:v>
      </x:c>
      <x:c r="S106" s="23" t="n">
        <x:f>R106-P106</x:f>
        <x:v>0</x:v>
      </x:c>
      <x:c r="T106" s="18" t="str">
        <x:f>IF(M106="","SIN_ACCION",IF(ABS(S106)&lt;1,"OK",IF(S106&gt;0,"EXCESO_GASTO","MENOR_GASTO")))</x:f>
        <x:v>SIN_ACCION</x:v>
      </x:c>
      <x:c r="U106" s="18"/>
    </x:row>
    <x:row r="107" ht="15" hidden="0" customHeight="1">
      <x:c r="A107" s="22"/>
      <x:c r="B107" s="18"/>
      <x:c r="C107" s="18"/>
      <x:c r="D107" s="18"/>
      <x:c r="E107" s="18"/>
      <x:c r="F107" s="18"/>
      <x:c r="G107" s="18"/>
      <x:c r="H107" s="18"/>
      <x:c r="I107" s="18"/>
      <x:c r="J107" s="18"/>
      <x:c r="K107" s="18"/>
      <x:c r="L107" s="23"/>
      <x:c r="M107" s="18"/>
      <x:c r="N107" s="19" t="n">
        <x:f>IFERROR(XLOOKUP(M107,'01_REGLAS_ACCIONES'!$A:$A,'01_REGLAS_ACCIONES'!$Q:$Q,0),0)</x:f>
        <x:v>0</x:v>
      </x:c>
      <x:c r="O107" s="18" t="str">
        <x:f>IFERROR(XLOOKUP(M107,'01_REGLAS_ACCIONES'!$A:$A,'01_REGLAS_ACCIONES'!$P:$P,"SIN_ACCION"),"SIN_ACCION")</x:f>
        <x:v>SIN_ACCION</x:v>
      </x:c>
      <x:c r="P107" s="23" t="n">
        <x:f>IF(O107="DESCUENTO",L107*N107,0)</x:f>
        <x:v>0</x:v>
      </x:c>
      <x:c r="Q107" s="19"/>
      <x:c r="R107" s="23" t="n">
        <x:f>L107*Q107</x:f>
        <x:v>0</x:v>
      </x:c>
      <x:c r="S107" s="23" t="n">
        <x:f>R107-P107</x:f>
        <x:v>0</x:v>
      </x:c>
      <x:c r="T107" s="18" t="str">
        <x:f>IF(M107="","SIN_ACCION",IF(ABS(S107)&lt;1,"OK",IF(S107&gt;0,"EXCESO_GASTO","MENOR_GASTO")))</x:f>
        <x:v>SIN_ACCION</x:v>
      </x:c>
      <x:c r="U107" s="18"/>
    </x:row>
    <x:row r="108" ht="15" hidden="0" customHeight="1">
      <x:c r="A108" s="22"/>
      <x:c r="B108" s="18"/>
      <x:c r="C108" s="18"/>
      <x:c r="D108" s="18"/>
      <x:c r="E108" s="18"/>
      <x:c r="F108" s="18"/>
      <x:c r="G108" s="18"/>
      <x:c r="H108" s="18"/>
      <x:c r="I108" s="18"/>
      <x:c r="J108" s="18"/>
      <x:c r="K108" s="18"/>
      <x:c r="L108" s="23"/>
      <x:c r="M108" s="18"/>
      <x:c r="N108" s="19" t="n">
        <x:f>IFERROR(XLOOKUP(M108,'01_REGLAS_ACCIONES'!$A:$A,'01_REGLAS_ACCIONES'!$Q:$Q,0),0)</x:f>
        <x:v>0</x:v>
      </x:c>
      <x:c r="O108" s="18" t="str">
        <x:f>IFERROR(XLOOKUP(M108,'01_REGLAS_ACCIONES'!$A:$A,'01_REGLAS_ACCIONES'!$P:$P,"SIN_ACCION"),"SIN_ACCION")</x:f>
        <x:v>SIN_ACCION</x:v>
      </x:c>
      <x:c r="P108" s="23" t="n">
        <x:f>IF(O108="DESCUENTO",L108*N108,0)</x:f>
        <x:v>0</x:v>
      </x:c>
      <x:c r="Q108" s="19"/>
      <x:c r="R108" s="23" t="n">
        <x:f>L108*Q108</x:f>
        <x:v>0</x:v>
      </x:c>
      <x:c r="S108" s="23" t="n">
        <x:f>R108-P108</x:f>
        <x:v>0</x:v>
      </x:c>
      <x:c r="T108" s="18" t="str">
        <x:f>IF(M108="","SIN_ACCION",IF(ABS(S108)&lt;1,"OK",IF(S108&gt;0,"EXCESO_GASTO","MENOR_GASTO")))</x:f>
        <x:v>SIN_ACCION</x:v>
      </x:c>
      <x:c r="U108" s="18"/>
    </x:row>
    <x:row r="109" ht="15" hidden="0" customHeight="1">
      <x:c r="A109" s="22"/>
      <x:c r="B109" s="18"/>
      <x:c r="C109" s="18"/>
      <x:c r="D109" s="18"/>
      <x:c r="E109" s="18"/>
      <x:c r="F109" s="18"/>
      <x:c r="G109" s="18"/>
      <x:c r="H109" s="18"/>
      <x:c r="I109" s="18"/>
      <x:c r="J109" s="18"/>
      <x:c r="K109" s="18"/>
      <x:c r="L109" s="23"/>
      <x:c r="M109" s="18"/>
      <x:c r="N109" s="19" t="n">
        <x:f>IFERROR(XLOOKUP(M109,'01_REGLAS_ACCIONES'!$A:$A,'01_REGLAS_ACCIONES'!$Q:$Q,0),0)</x:f>
        <x:v>0</x:v>
      </x:c>
      <x:c r="O109" s="18" t="str">
        <x:f>IFERROR(XLOOKUP(M109,'01_REGLAS_ACCIONES'!$A:$A,'01_REGLAS_ACCIONES'!$P:$P,"SIN_ACCION"),"SIN_ACCION")</x:f>
        <x:v>SIN_ACCION</x:v>
      </x:c>
      <x:c r="P109" s="23" t="n">
        <x:f>IF(O109="DESCUENTO",L109*N109,0)</x:f>
        <x:v>0</x:v>
      </x:c>
      <x:c r="Q109" s="19"/>
      <x:c r="R109" s="23" t="n">
        <x:f>L109*Q109</x:f>
        <x:v>0</x:v>
      </x:c>
      <x:c r="S109" s="23" t="n">
        <x:f>R109-P109</x:f>
        <x:v>0</x:v>
      </x:c>
      <x:c r="T109" s="18" t="str">
        <x:f>IF(M109="","SIN_ACCION",IF(ABS(S109)&lt;1,"OK",IF(S109&gt;0,"EXCESO_GASTO","MENOR_GASTO")))</x:f>
        <x:v>SIN_ACCION</x:v>
      </x:c>
      <x:c r="U109" s="18"/>
    </x:row>
    <x:row r="110" ht="15" hidden="0" customHeight="1">
      <x:c r="A110" s="22"/>
      <x:c r="B110" s="18"/>
      <x:c r="C110" s="18"/>
      <x:c r="D110" s="18"/>
      <x:c r="E110" s="18"/>
      <x:c r="F110" s="18"/>
      <x:c r="G110" s="18"/>
      <x:c r="H110" s="18"/>
      <x:c r="I110" s="18"/>
      <x:c r="J110" s="18"/>
      <x:c r="K110" s="18"/>
      <x:c r="L110" s="23"/>
      <x:c r="M110" s="18"/>
      <x:c r="N110" s="19" t="n">
        <x:f>IFERROR(XLOOKUP(M110,'01_REGLAS_ACCIONES'!$A:$A,'01_REGLAS_ACCIONES'!$Q:$Q,0),0)</x:f>
        <x:v>0</x:v>
      </x:c>
      <x:c r="O110" s="18" t="str">
        <x:f>IFERROR(XLOOKUP(M110,'01_REGLAS_ACCIONES'!$A:$A,'01_REGLAS_ACCIONES'!$P:$P,"SIN_ACCION"),"SIN_ACCION")</x:f>
        <x:v>SIN_ACCION</x:v>
      </x:c>
      <x:c r="P110" s="23" t="n">
        <x:f>IF(O110="DESCUENTO",L110*N110,0)</x:f>
        <x:v>0</x:v>
      </x:c>
      <x:c r="Q110" s="19"/>
      <x:c r="R110" s="23" t="n">
        <x:f>L110*Q110</x:f>
        <x:v>0</x:v>
      </x:c>
      <x:c r="S110" s="23" t="n">
        <x:f>R110-P110</x:f>
        <x:v>0</x:v>
      </x:c>
      <x:c r="T110" s="18" t="str">
        <x:f>IF(M110="","SIN_ACCION",IF(ABS(S110)&lt;1,"OK",IF(S110&gt;0,"EXCESO_GASTO","MENOR_GASTO")))</x:f>
        <x:v>SIN_ACCION</x:v>
      </x:c>
      <x:c r="U110" s="18"/>
    </x:row>
    <x:row r="111" ht="15" hidden="0" customHeight="1">
      <x:c r="A111" s="22"/>
      <x:c r="B111" s="18"/>
      <x:c r="C111" s="18"/>
      <x:c r="D111" s="18"/>
      <x:c r="E111" s="18"/>
      <x:c r="F111" s="18"/>
      <x:c r="G111" s="18"/>
      <x:c r="H111" s="18"/>
      <x:c r="I111" s="18"/>
      <x:c r="J111" s="18"/>
      <x:c r="K111" s="18"/>
      <x:c r="L111" s="23"/>
      <x:c r="M111" s="18"/>
      <x:c r="N111" s="19" t="n">
        <x:f>IFERROR(XLOOKUP(M111,'01_REGLAS_ACCIONES'!$A:$A,'01_REGLAS_ACCIONES'!$Q:$Q,0),0)</x:f>
        <x:v>0</x:v>
      </x:c>
      <x:c r="O111" s="18" t="str">
        <x:f>IFERROR(XLOOKUP(M111,'01_REGLAS_ACCIONES'!$A:$A,'01_REGLAS_ACCIONES'!$P:$P,"SIN_ACCION"),"SIN_ACCION")</x:f>
        <x:v>SIN_ACCION</x:v>
      </x:c>
      <x:c r="P111" s="23" t="n">
        <x:f>IF(O111="DESCUENTO",L111*N111,0)</x:f>
        <x:v>0</x:v>
      </x:c>
      <x:c r="Q111" s="19"/>
      <x:c r="R111" s="23" t="n">
        <x:f>L111*Q111</x:f>
        <x:v>0</x:v>
      </x:c>
      <x:c r="S111" s="23" t="n">
        <x:f>R111-P111</x:f>
        <x:v>0</x:v>
      </x:c>
      <x:c r="T111" s="18" t="str">
        <x:f>IF(M111="","SIN_ACCION",IF(ABS(S111)&lt;1,"OK",IF(S111&gt;0,"EXCESO_GASTO","MENOR_GASTO")))</x:f>
        <x:v>SIN_ACCION</x:v>
      </x:c>
      <x:c r="U111" s="18"/>
    </x:row>
    <x:row r="112" ht="15" hidden="0" customHeight="1">
      <x:c r="A112" s="22"/>
      <x:c r="B112" s="18"/>
      <x:c r="C112" s="18"/>
      <x:c r="D112" s="18"/>
      <x:c r="E112" s="18"/>
      <x:c r="F112" s="18"/>
      <x:c r="G112" s="18"/>
      <x:c r="H112" s="18"/>
      <x:c r="I112" s="18"/>
      <x:c r="J112" s="18"/>
      <x:c r="K112" s="18"/>
      <x:c r="L112" s="23"/>
      <x:c r="M112" s="18"/>
      <x:c r="N112" s="19" t="n">
        <x:f>IFERROR(XLOOKUP(M112,'01_REGLAS_ACCIONES'!$A:$A,'01_REGLAS_ACCIONES'!$Q:$Q,0),0)</x:f>
        <x:v>0</x:v>
      </x:c>
      <x:c r="O112" s="18" t="str">
        <x:f>IFERROR(XLOOKUP(M112,'01_REGLAS_ACCIONES'!$A:$A,'01_REGLAS_ACCIONES'!$P:$P,"SIN_ACCION"),"SIN_ACCION")</x:f>
        <x:v>SIN_ACCION</x:v>
      </x:c>
      <x:c r="P112" s="23" t="n">
        <x:f>IF(O112="DESCUENTO",L112*N112,0)</x:f>
        <x:v>0</x:v>
      </x:c>
      <x:c r="Q112" s="19"/>
      <x:c r="R112" s="23" t="n">
        <x:f>L112*Q112</x:f>
        <x:v>0</x:v>
      </x:c>
      <x:c r="S112" s="23" t="n">
        <x:f>R112-P112</x:f>
        <x:v>0</x:v>
      </x:c>
      <x:c r="T112" s="18" t="str">
        <x:f>IF(M112="","SIN_ACCION",IF(ABS(S112)&lt;1,"OK",IF(S112&gt;0,"EXCESO_GASTO","MENOR_GASTO")))</x:f>
        <x:v>SIN_ACCION</x:v>
      </x:c>
      <x:c r="U112" s="18"/>
    </x:row>
    <x:row r="113" ht="15" hidden="0" customHeight="1">
      <x:c r="A113" s="22"/>
      <x:c r="B113" s="18"/>
      <x:c r="C113" s="18"/>
      <x:c r="D113" s="18"/>
      <x:c r="E113" s="18"/>
      <x:c r="F113" s="18"/>
      <x:c r="G113" s="18"/>
      <x:c r="H113" s="18"/>
      <x:c r="I113" s="18"/>
      <x:c r="J113" s="18"/>
      <x:c r="K113" s="18"/>
      <x:c r="L113" s="23"/>
      <x:c r="M113" s="18"/>
      <x:c r="N113" s="19" t="n">
        <x:f>IFERROR(XLOOKUP(M113,'01_REGLAS_ACCIONES'!$A:$A,'01_REGLAS_ACCIONES'!$Q:$Q,0),0)</x:f>
        <x:v>0</x:v>
      </x:c>
      <x:c r="O113" s="18" t="str">
        <x:f>IFERROR(XLOOKUP(M113,'01_REGLAS_ACCIONES'!$A:$A,'01_REGLAS_ACCIONES'!$P:$P,"SIN_ACCION"),"SIN_ACCION")</x:f>
        <x:v>SIN_ACCION</x:v>
      </x:c>
      <x:c r="P113" s="23" t="n">
        <x:f>IF(O113="DESCUENTO",L113*N113,0)</x:f>
        <x:v>0</x:v>
      </x:c>
      <x:c r="Q113" s="19"/>
      <x:c r="R113" s="23" t="n">
        <x:f>L113*Q113</x:f>
        <x:v>0</x:v>
      </x:c>
      <x:c r="S113" s="23" t="n">
        <x:f>R113-P113</x:f>
        <x:v>0</x:v>
      </x:c>
      <x:c r="T113" s="18" t="str">
        <x:f>IF(M113="","SIN_ACCION",IF(ABS(S113)&lt;1,"OK",IF(S113&gt;0,"EXCESO_GASTO","MENOR_GASTO")))</x:f>
        <x:v>SIN_ACCION</x:v>
      </x:c>
      <x:c r="U113" s="18"/>
    </x:row>
    <x:row r="114" ht="15" hidden="0" customHeight="1">
      <x:c r="A114" s="22"/>
      <x:c r="B114" s="18"/>
      <x:c r="C114" s="18"/>
      <x:c r="D114" s="18"/>
      <x:c r="E114" s="18"/>
      <x:c r="F114" s="18"/>
      <x:c r="G114" s="18"/>
      <x:c r="H114" s="18"/>
      <x:c r="I114" s="18"/>
      <x:c r="J114" s="18"/>
      <x:c r="K114" s="18"/>
      <x:c r="L114" s="23"/>
      <x:c r="M114" s="18"/>
      <x:c r="N114" s="19" t="n">
        <x:f>IFERROR(XLOOKUP(M114,'01_REGLAS_ACCIONES'!$A:$A,'01_REGLAS_ACCIONES'!$Q:$Q,0),0)</x:f>
        <x:v>0</x:v>
      </x:c>
      <x:c r="O114" s="18" t="str">
        <x:f>IFERROR(XLOOKUP(M114,'01_REGLAS_ACCIONES'!$A:$A,'01_REGLAS_ACCIONES'!$P:$P,"SIN_ACCION"),"SIN_ACCION")</x:f>
        <x:v>SIN_ACCION</x:v>
      </x:c>
      <x:c r="P114" s="23" t="n">
        <x:f>IF(O114="DESCUENTO",L114*N114,0)</x:f>
        <x:v>0</x:v>
      </x:c>
      <x:c r="Q114" s="19"/>
      <x:c r="R114" s="23" t="n">
        <x:f>L114*Q114</x:f>
        <x:v>0</x:v>
      </x:c>
      <x:c r="S114" s="23" t="n">
        <x:f>R114-P114</x:f>
        <x:v>0</x:v>
      </x:c>
      <x:c r="T114" s="18" t="str">
        <x:f>IF(M114="","SIN_ACCION",IF(ABS(S114)&lt;1,"OK",IF(S114&gt;0,"EXCESO_GASTO","MENOR_GASTO")))</x:f>
        <x:v>SIN_ACCION</x:v>
      </x:c>
      <x:c r="U114" s="18"/>
    </x:row>
    <x:row r="115" ht="15" hidden="0" customHeight="1">
      <x:c r="A115" s="22"/>
      <x:c r="B115" s="18"/>
      <x:c r="C115" s="18"/>
      <x:c r="D115" s="18"/>
      <x:c r="E115" s="18"/>
      <x:c r="F115" s="18"/>
      <x:c r="G115" s="18"/>
      <x:c r="H115" s="18"/>
      <x:c r="I115" s="18"/>
      <x:c r="J115" s="18"/>
      <x:c r="K115" s="18"/>
      <x:c r="L115" s="23"/>
      <x:c r="M115" s="18"/>
      <x:c r="N115" s="19" t="n">
        <x:f>IFERROR(XLOOKUP(M115,'01_REGLAS_ACCIONES'!$A:$A,'01_REGLAS_ACCIONES'!$Q:$Q,0),0)</x:f>
        <x:v>0</x:v>
      </x:c>
      <x:c r="O115" s="18" t="str">
        <x:f>IFERROR(XLOOKUP(M115,'01_REGLAS_ACCIONES'!$A:$A,'01_REGLAS_ACCIONES'!$P:$P,"SIN_ACCION"),"SIN_ACCION")</x:f>
        <x:v>SIN_ACCION</x:v>
      </x:c>
      <x:c r="P115" s="23" t="n">
        <x:f>IF(O115="DESCUENTO",L115*N115,0)</x:f>
        <x:v>0</x:v>
      </x:c>
      <x:c r="Q115" s="19"/>
      <x:c r="R115" s="23" t="n">
        <x:f>L115*Q115</x:f>
        <x:v>0</x:v>
      </x:c>
      <x:c r="S115" s="23" t="n">
        <x:f>R115-P115</x:f>
        <x:v>0</x:v>
      </x:c>
      <x:c r="T115" s="18" t="str">
        <x:f>IF(M115="","SIN_ACCION",IF(ABS(S115)&lt;1,"OK",IF(S115&gt;0,"EXCESO_GASTO","MENOR_GASTO")))</x:f>
        <x:v>SIN_ACCION</x:v>
      </x:c>
      <x:c r="U115" s="18"/>
    </x:row>
    <x:row r="116" ht="15" hidden="0" customHeight="1">
      <x:c r="A116" s="22"/>
      <x:c r="B116" s="18"/>
      <x:c r="C116" s="18"/>
      <x:c r="D116" s="18"/>
      <x:c r="E116" s="18"/>
      <x:c r="F116" s="18"/>
      <x:c r="G116" s="18"/>
      <x:c r="H116" s="18"/>
      <x:c r="I116" s="18"/>
      <x:c r="J116" s="18"/>
      <x:c r="K116" s="18"/>
      <x:c r="L116" s="23"/>
      <x:c r="M116" s="18"/>
      <x:c r="N116" s="19" t="n">
        <x:f>IFERROR(XLOOKUP(M116,'01_REGLAS_ACCIONES'!$A:$A,'01_REGLAS_ACCIONES'!$Q:$Q,0),0)</x:f>
        <x:v>0</x:v>
      </x:c>
      <x:c r="O116" s="18" t="str">
        <x:f>IFERROR(XLOOKUP(M116,'01_REGLAS_ACCIONES'!$A:$A,'01_REGLAS_ACCIONES'!$P:$P,"SIN_ACCION"),"SIN_ACCION")</x:f>
        <x:v>SIN_ACCION</x:v>
      </x:c>
      <x:c r="P116" s="23" t="n">
        <x:f>IF(O116="DESCUENTO",L116*N116,0)</x:f>
        <x:v>0</x:v>
      </x:c>
      <x:c r="Q116" s="19"/>
      <x:c r="R116" s="23" t="n">
        <x:f>L116*Q116</x:f>
        <x:v>0</x:v>
      </x:c>
      <x:c r="S116" s="23" t="n">
        <x:f>R116-P116</x:f>
        <x:v>0</x:v>
      </x:c>
      <x:c r="T116" s="18" t="str">
        <x:f>IF(M116="","SIN_ACCION",IF(ABS(S116)&lt;1,"OK",IF(S116&gt;0,"EXCESO_GASTO","MENOR_GASTO")))</x:f>
        <x:v>SIN_ACCION</x:v>
      </x:c>
      <x:c r="U116" s="18"/>
    </x:row>
    <x:row r="117" ht="15" hidden="0" customHeight="1">
      <x:c r="A117" s="22"/>
      <x:c r="B117" s="18"/>
      <x:c r="C117" s="18"/>
      <x:c r="D117" s="18"/>
      <x:c r="E117" s="18"/>
      <x:c r="F117" s="18"/>
      <x:c r="G117" s="18"/>
      <x:c r="H117" s="18"/>
      <x:c r="I117" s="18"/>
      <x:c r="J117" s="18"/>
      <x:c r="K117" s="18"/>
      <x:c r="L117" s="23"/>
      <x:c r="M117" s="18"/>
      <x:c r="N117" s="19" t="n">
        <x:f>IFERROR(XLOOKUP(M117,'01_REGLAS_ACCIONES'!$A:$A,'01_REGLAS_ACCIONES'!$Q:$Q,0),0)</x:f>
        <x:v>0</x:v>
      </x:c>
      <x:c r="O117" s="18" t="str">
        <x:f>IFERROR(XLOOKUP(M117,'01_REGLAS_ACCIONES'!$A:$A,'01_REGLAS_ACCIONES'!$P:$P,"SIN_ACCION"),"SIN_ACCION")</x:f>
        <x:v>SIN_ACCION</x:v>
      </x:c>
      <x:c r="P117" s="23" t="n">
        <x:f>IF(O117="DESCUENTO",L117*N117,0)</x:f>
        <x:v>0</x:v>
      </x:c>
      <x:c r="Q117" s="19"/>
      <x:c r="R117" s="23" t="n">
        <x:f>L117*Q117</x:f>
        <x:v>0</x:v>
      </x:c>
      <x:c r="S117" s="23" t="n">
        <x:f>R117-P117</x:f>
        <x:v>0</x:v>
      </x:c>
      <x:c r="T117" s="18" t="str">
        <x:f>IF(M117="","SIN_ACCION",IF(ABS(S117)&lt;1,"OK",IF(S117&gt;0,"EXCESO_GASTO","MENOR_GASTO")))</x:f>
        <x:v>SIN_ACCION</x:v>
      </x:c>
      <x:c r="U117" s="18"/>
    </x:row>
    <x:row r="118" ht="15" hidden="0" customHeight="1">
      <x:c r="A118" s="22"/>
      <x:c r="B118" s="18"/>
      <x:c r="C118" s="18"/>
      <x:c r="D118" s="18"/>
      <x:c r="E118" s="18"/>
      <x:c r="F118" s="18"/>
      <x:c r="G118" s="18"/>
      <x:c r="H118" s="18"/>
      <x:c r="I118" s="18"/>
      <x:c r="J118" s="18"/>
      <x:c r="K118" s="18"/>
      <x:c r="L118" s="23"/>
      <x:c r="M118" s="18"/>
      <x:c r="N118" s="19" t="n">
        <x:f>IFERROR(XLOOKUP(M118,'01_REGLAS_ACCIONES'!$A:$A,'01_REGLAS_ACCIONES'!$Q:$Q,0),0)</x:f>
        <x:v>0</x:v>
      </x:c>
      <x:c r="O118" s="18" t="str">
        <x:f>IFERROR(XLOOKUP(M118,'01_REGLAS_ACCIONES'!$A:$A,'01_REGLAS_ACCIONES'!$P:$P,"SIN_ACCION"),"SIN_ACCION")</x:f>
        <x:v>SIN_ACCION</x:v>
      </x:c>
      <x:c r="P118" s="23" t="n">
        <x:f>IF(O118="DESCUENTO",L118*N118,0)</x:f>
        <x:v>0</x:v>
      </x:c>
      <x:c r="Q118" s="19"/>
      <x:c r="R118" s="23" t="n">
        <x:f>L118*Q118</x:f>
        <x:v>0</x:v>
      </x:c>
      <x:c r="S118" s="23" t="n">
        <x:f>R118-P118</x:f>
        <x:v>0</x:v>
      </x:c>
      <x:c r="T118" s="18" t="str">
        <x:f>IF(M118="","SIN_ACCION",IF(ABS(S118)&lt;1,"OK",IF(S118&gt;0,"EXCESO_GASTO","MENOR_GASTO")))</x:f>
        <x:v>SIN_ACCION</x:v>
      </x:c>
      <x:c r="U118" s="18"/>
    </x:row>
    <x:row r="119" ht="15" hidden="0" customHeight="1">
      <x:c r="A119" s="22"/>
      <x:c r="B119" s="18"/>
      <x:c r="C119" s="18"/>
      <x:c r="D119" s="18"/>
      <x:c r="E119" s="18"/>
      <x:c r="F119" s="18"/>
      <x:c r="G119" s="18"/>
      <x:c r="H119" s="18"/>
      <x:c r="I119" s="18"/>
      <x:c r="J119" s="18"/>
      <x:c r="K119" s="18"/>
      <x:c r="L119" s="23"/>
      <x:c r="M119" s="18"/>
      <x:c r="N119" s="19" t="n">
        <x:f>IFERROR(XLOOKUP(M119,'01_REGLAS_ACCIONES'!$A:$A,'01_REGLAS_ACCIONES'!$Q:$Q,0),0)</x:f>
        <x:v>0</x:v>
      </x:c>
      <x:c r="O119" s="18" t="str">
        <x:f>IFERROR(XLOOKUP(M119,'01_REGLAS_ACCIONES'!$A:$A,'01_REGLAS_ACCIONES'!$P:$P,"SIN_ACCION"),"SIN_ACCION")</x:f>
        <x:v>SIN_ACCION</x:v>
      </x:c>
      <x:c r="P119" s="23" t="n">
        <x:f>IF(O119="DESCUENTO",L119*N119,0)</x:f>
        <x:v>0</x:v>
      </x:c>
      <x:c r="Q119" s="19"/>
      <x:c r="R119" s="23" t="n">
        <x:f>L119*Q119</x:f>
        <x:v>0</x:v>
      </x:c>
      <x:c r="S119" s="23" t="n">
        <x:f>R119-P119</x:f>
        <x:v>0</x:v>
      </x:c>
      <x:c r="T119" s="18" t="str">
        <x:f>IF(M119="","SIN_ACCION",IF(ABS(S119)&lt;1,"OK",IF(S119&gt;0,"EXCESO_GASTO","MENOR_GASTO")))</x:f>
        <x:v>SIN_ACCION</x:v>
      </x:c>
      <x:c r="U119" s="18"/>
    </x:row>
    <x:row r="120" ht="15" hidden="0" customHeight="1">
      <x:c r="A120" s="22"/>
      <x:c r="B120" s="18"/>
      <x:c r="C120" s="18"/>
      <x:c r="D120" s="18"/>
      <x:c r="E120" s="18"/>
      <x:c r="F120" s="18"/>
      <x:c r="G120" s="18"/>
      <x:c r="H120" s="18"/>
      <x:c r="I120" s="18"/>
      <x:c r="J120" s="18"/>
      <x:c r="K120" s="18"/>
      <x:c r="L120" s="23"/>
      <x:c r="M120" s="18"/>
      <x:c r="N120" s="19" t="n">
        <x:f>IFERROR(XLOOKUP(M120,'01_REGLAS_ACCIONES'!$A:$A,'01_REGLAS_ACCIONES'!$Q:$Q,0),0)</x:f>
        <x:v>0</x:v>
      </x:c>
      <x:c r="O120" s="18" t="str">
        <x:f>IFERROR(XLOOKUP(M120,'01_REGLAS_ACCIONES'!$A:$A,'01_REGLAS_ACCIONES'!$P:$P,"SIN_ACCION"),"SIN_ACCION")</x:f>
        <x:v>SIN_ACCION</x:v>
      </x:c>
      <x:c r="P120" s="23" t="n">
        <x:f>IF(O120="DESCUENTO",L120*N120,0)</x:f>
        <x:v>0</x:v>
      </x:c>
      <x:c r="Q120" s="19"/>
      <x:c r="R120" s="23" t="n">
        <x:f>L120*Q120</x:f>
        <x:v>0</x:v>
      </x:c>
      <x:c r="S120" s="23" t="n">
        <x:f>R120-P120</x:f>
        <x:v>0</x:v>
      </x:c>
      <x:c r="T120" s="18" t="str">
        <x:f>IF(M120="","SIN_ACCION",IF(ABS(S120)&lt;1,"OK",IF(S120&gt;0,"EXCESO_GASTO","MENOR_GASTO")))</x:f>
        <x:v>SIN_ACCION</x:v>
      </x:c>
      <x:c r="U120" s="18"/>
    </x:row>
    <x:row r="121" ht="15" hidden="0" customHeight="1">
      <x:c r="A121" s="22"/>
      <x:c r="B121" s="18"/>
      <x:c r="C121" s="18"/>
      <x:c r="D121" s="18"/>
      <x:c r="E121" s="18"/>
      <x:c r="F121" s="18"/>
      <x:c r="G121" s="18"/>
      <x:c r="H121" s="18"/>
      <x:c r="I121" s="18"/>
      <x:c r="J121" s="18"/>
      <x:c r="K121" s="18"/>
      <x:c r="L121" s="23"/>
      <x:c r="M121" s="18"/>
      <x:c r="N121" s="19" t="n">
        <x:f>IFERROR(XLOOKUP(M121,'01_REGLAS_ACCIONES'!$A:$A,'01_REGLAS_ACCIONES'!$Q:$Q,0),0)</x:f>
        <x:v>0</x:v>
      </x:c>
      <x:c r="O121" s="18" t="str">
        <x:f>IFERROR(XLOOKUP(M121,'01_REGLAS_ACCIONES'!$A:$A,'01_REGLAS_ACCIONES'!$P:$P,"SIN_ACCION"),"SIN_ACCION")</x:f>
        <x:v>SIN_ACCION</x:v>
      </x:c>
      <x:c r="P121" s="23" t="n">
        <x:f>IF(O121="DESCUENTO",L121*N121,0)</x:f>
        <x:v>0</x:v>
      </x:c>
      <x:c r="Q121" s="19"/>
      <x:c r="R121" s="23" t="n">
        <x:f>L121*Q121</x:f>
        <x:v>0</x:v>
      </x:c>
      <x:c r="S121" s="23" t="n">
        <x:f>R121-P121</x:f>
        <x:v>0</x:v>
      </x:c>
      <x:c r="T121" s="18" t="str">
        <x:f>IF(M121="","SIN_ACCION",IF(ABS(S121)&lt;1,"OK",IF(S121&gt;0,"EXCESO_GASTO","MENOR_GASTO")))</x:f>
        <x:v>SIN_ACCION</x:v>
      </x:c>
      <x:c r="U121" s="18"/>
    </x:row>
    <x:row r="122" ht="15" hidden="0" customHeight="1">
      <x:c r="A122" s="22"/>
      <x:c r="B122" s="18"/>
      <x:c r="C122" s="18"/>
      <x:c r="D122" s="18"/>
      <x:c r="E122" s="18"/>
      <x:c r="F122" s="18"/>
      <x:c r="G122" s="18"/>
      <x:c r="H122" s="18"/>
      <x:c r="I122" s="18"/>
      <x:c r="J122" s="18"/>
      <x:c r="K122" s="18"/>
      <x:c r="L122" s="23"/>
      <x:c r="M122" s="18"/>
      <x:c r="N122" s="19" t="n">
        <x:f>IFERROR(XLOOKUP(M122,'01_REGLAS_ACCIONES'!$A:$A,'01_REGLAS_ACCIONES'!$Q:$Q,0),0)</x:f>
        <x:v>0</x:v>
      </x:c>
      <x:c r="O122" s="18" t="str">
        <x:f>IFERROR(XLOOKUP(M122,'01_REGLAS_ACCIONES'!$A:$A,'01_REGLAS_ACCIONES'!$P:$P,"SIN_ACCION"),"SIN_ACCION")</x:f>
        <x:v>SIN_ACCION</x:v>
      </x:c>
      <x:c r="P122" s="23" t="n">
        <x:f>IF(O122="DESCUENTO",L122*N122,0)</x:f>
        <x:v>0</x:v>
      </x:c>
      <x:c r="Q122" s="19"/>
      <x:c r="R122" s="23" t="n">
        <x:f>L122*Q122</x:f>
        <x:v>0</x:v>
      </x:c>
      <x:c r="S122" s="23" t="n">
        <x:f>R122-P122</x:f>
        <x:v>0</x:v>
      </x:c>
      <x:c r="T122" s="18" t="str">
        <x:f>IF(M122="","SIN_ACCION",IF(ABS(S122)&lt;1,"OK",IF(S122&gt;0,"EXCESO_GASTO","MENOR_GASTO")))</x:f>
        <x:v>SIN_ACCION</x:v>
      </x:c>
      <x:c r="U122" s="18"/>
    </x:row>
    <x:row r="123" ht="15" hidden="0" customHeight="1">
      <x:c r="A123" s="22"/>
      <x:c r="B123" s="18"/>
      <x:c r="C123" s="18"/>
      <x:c r="D123" s="18"/>
      <x:c r="E123" s="18"/>
      <x:c r="F123" s="18"/>
      <x:c r="G123" s="18"/>
      <x:c r="H123" s="18"/>
      <x:c r="I123" s="18"/>
      <x:c r="J123" s="18"/>
      <x:c r="K123" s="18"/>
      <x:c r="L123" s="23"/>
      <x:c r="M123" s="18"/>
      <x:c r="N123" s="19" t="n">
        <x:f>IFERROR(XLOOKUP(M123,'01_REGLAS_ACCIONES'!$A:$A,'01_REGLAS_ACCIONES'!$Q:$Q,0),0)</x:f>
        <x:v>0</x:v>
      </x:c>
      <x:c r="O123" s="18" t="str">
        <x:f>IFERROR(XLOOKUP(M123,'01_REGLAS_ACCIONES'!$A:$A,'01_REGLAS_ACCIONES'!$P:$P,"SIN_ACCION"),"SIN_ACCION")</x:f>
        <x:v>SIN_ACCION</x:v>
      </x:c>
      <x:c r="P123" s="23" t="n">
        <x:f>IF(O123="DESCUENTO",L123*N123,0)</x:f>
        <x:v>0</x:v>
      </x:c>
      <x:c r="Q123" s="19"/>
      <x:c r="R123" s="23" t="n">
        <x:f>L123*Q123</x:f>
        <x:v>0</x:v>
      </x:c>
      <x:c r="S123" s="23" t="n">
        <x:f>R123-P123</x:f>
        <x:v>0</x:v>
      </x:c>
      <x:c r="T123" s="18" t="str">
        <x:f>IF(M123="","SIN_ACCION",IF(ABS(S123)&lt;1,"OK",IF(S123&gt;0,"EXCESO_GASTO","MENOR_GASTO")))</x:f>
        <x:v>SIN_ACCION</x:v>
      </x:c>
      <x:c r="U123" s="18"/>
    </x:row>
    <x:row r="124" ht="15" hidden="0" customHeight="1">
      <x:c r="A124" s="22"/>
      <x:c r="B124" s="18"/>
      <x:c r="C124" s="18"/>
      <x:c r="D124" s="18"/>
      <x:c r="E124" s="18"/>
      <x:c r="F124" s="18"/>
      <x:c r="G124" s="18"/>
      <x:c r="H124" s="18"/>
      <x:c r="I124" s="18"/>
      <x:c r="J124" s="18"/>
      <x:c r="K124" s="18"/>
      <x:c r="L124" s="23"/>
      <x:c r="M124" s="18"/>
      <x:c r="N124" s="19" t="n">
        <x:f>IFERROR(XLOOKUP(M124,'01_REGLAS_ACCIONES'!$A:$A,'01_REGLAS_ACCIONES'!$Q:$Q,0),0)</x:f>
        <x:v>0</x:v>
      </x:c>
      <x:c r="O124" s="18" t="str">
        <x:f>IFERROR(XLOOKUP(M124,'01_REGLAS_ACCIONES'!$A:$A,'01_REGLAS_ACCIONES'!$P:$P,"SIN_ACCION"),"SIN_ACCION")</x:f>
        <x:v>SIN_ACCION</x:v>
      </x:c>
      <x:c r="P124" s="23" t="n">
        <x:f>IF(O124="DESCUENTO",L124*N124,0)</x:f>
        <x:v>0</x:v>
      </x:c>
      <x:c r="Q124" s="19"/>
      <x:c r="R124" s="23" t="n">
        <x:f>L124*Q124</x:f>
        <x:v>0</x:v>
      </x:c>
      <x:c r="S124" s="23" t="n">
        <x:f>R124-P124</x:f>
        <x:v>0</x:v>
      </x:c>
      <x:c r="T124" s="18" t="str">
        <x:f>IF(M124="","SIN_ACCION",IF(ABS(S124)&lt;1,"OK",IF(S124&gt;0,"EXCESO_GASTO","MENOR_GASTO")))</x:f>
        <x:v>SIN_ACCION</x:v>
      </x:c>
      <x:c r="U124" s="18"/>
    </x:row>
    <x:row r="125" ht="15" hidden="0" customHeight="1">
      <x:c r="A125" s="22"/>
      <x:c r="B125" s="18"/>
      <x:c r="C125" s="18"/>
      <x:c r="D125" s="18"/>
      <x:c r="E125" s="18"/>
      <x:c r="F125" s="18"/>
      <x:c r="G125" s="18"/>
      <x:c r="H125" s="18"/>
      <x:c r="I125" s="18"/>
      <x:c r="J125" s="18"/>
      <x:c r="K125" s="18"/>
      <x:c r="L125" s="23"/>
      <x:c r="M125" s="18"/>
      <x:c r="N125" s="19" t="n">
        <x:f>IFERROR(XLOOKUP(M125,'01_REGLAS_ACCIONES'!$A:$A,'01_REGLAS_ACCIONES'!$Q:$Q,0),0)</x:f>
        <x:v>0</x:v>
      </x:c>
      <x:c r="O125" s="18" t="str">
        <x:f>IFERROR(XLOOKUP(M125,'01_REGLAS_ACCIONES'!$A:$A,'01_REGLAS_ACCIONES'!$P:$P,"SIN_ACCION"),"SIN_ACCION")</x:f>
        <x:v>SIN_ACCION</x:v>
      </x:c>
      <x:c r="P125" s="23" t="n">
        <x:f>IF(O125="DESCUENTO",L125*N125,0)</x:f>
        <x:v>0</x:v>
      </x:c>
      <x:c r="Q125" s="19"/>
      <x:c r="R125" s="23" t="n">
        <x:f>L125*Q125</x:f>
        <x:v>0</x:v>
      </x:c>
      <x:c r="S125" s="23" t="n">
        <x:f>R125-P125</x:f>
        <x:v>0</x:v>
      </x:c>
      <x:c r="T125" s="18" t="str">
        <x:f>IF(M125="","SIN_ACCION",IF(ABS(S125)&lt;1,"OK",IF(S125&gt;0,"EXCESO_GASTO","MENOR_GASTO")))</x:f>
        <x:v>SIN_ACCION</x:v>
      </x:c>
      <x:c r="U125" s="18"/>
    </x:row>
    <x:row r="126" ht="15" hidden="0" customHeight="1">
      <x:c r="A126" s="22"/>
      <x:c r="B126" s="18"/>
      <x:c r="C126" s="18"/>
      <x:c r="D126" s="18"/>
      <x:c r="E126" s="18"/>
      <x:c r="F126" s="18"/>
      <x:c r="G126" s="18"/>
      <x:c r="H126" s="18"/>
      <x:c r="I126" s="18"/>
      <x:c r="J126" s="18"/>
      <x:c r="K126" s="18"/>
      <x:c r="L126" s="23"/>
      <x:c r="M126" s="18"/>
      <x:c r="N126" s="19" t="n">
        <x:f>IFERROR(XLOOKUP(M126,'01_REGLAS_ACCIONES'!$A:$A,'01_REGLAS_ACCIONES'!$Q:$Q,0),0)</x:f>
        <x:v>0</x:v>
      </x:c>
      <x:c r="O126" s="18" t="str">
        <x:f>IFERROR(XLOOKUP(M126,'01_REGLAS_ACCIONES'!$A:$A,'01_REGLAS_ACCIONES'!$P:$P,"SIN_ACCION"),"SIN_ACCION")</x:f>
        <x:v>SIN_ACCION</x:v>
      </x:c>
      <x:c r="P126" s="23" t="n">
        <x:f>IF(O126="DESCUENTO",L126*N126,0)</x:f>
        <x:v>0</x:v>
      </x:c>
      <x:c r="Q126" s="19"/>
      <x:c r="R126" s="23" t="n">
        <x:f>L126*Q126</x:f>
        <x:v>0</x:v>
      </x:c>
      <x:c r="S126" s="23" t="n">
        <x:f>R126-P126</x:f>
        <x:v>0</x:v>
      </x:c>
      <x:c r="T126" s="18" t="str">
        <x:f>IF(M126="","SIN_ACCION",IF(ABS(S126)&lt;1,"OK",IF(S126&gt;0,"EXCESO_GASTO","MENOR_GASTO")))</x:f>
        <x:v>SIN_ACCION</x:v>
      </x:c>
      <x:c r="U126" s="18"/>
    </x:row>
    <x:row r="127" ht="15" hidden="0" customHeight="1">
      <x:c r="A127" s="22"/>
      <x:c r="B127" s="18"/>
      <x:c r="C127" s="18"/>
      <x:c r="D127" s="18"/>
      <x:c r="E127" s="18"/>
      <x:c r="F127" s="18"/>
      <x:c r="G127" s="18"/>
      <x:c r="H127" s="18"/>
      <x:c r="I127" s="18"/>
      <x:c r="J127" s="18"/>
      <x:c r="K127" s="18"/>
      <x:c r="L127" s="23"/>
      <x:c r="M127" s="18"/>
      <x:c r="N127" s="19" t="n">
        <x:f>IFERROR(XLOOKUP(M127,'01_REGLAS_ACCIONES'!$A:$A,'01_REGLAS_ACCIONES'!$Q:$Q,0),0)</x:f>
        <x:v>0</x:v>
      </x:c>
      <x:c r="O127" s="18" t="str">
        <x:f>IFERROR(XLOOKUP(M127,'01_REGLAS_ACCIONES'!$A:$A,'01_REGLAS_ACCIONES'!$P:$P,"SIN_ACCION"),"SIN_ACCION")</x:f>
        <x:v>SIN_ACCION</x:v>
      </x:c>
      <x:c r="P127" s="23" t="n">
        <x:f>IF(O127="DESCUENTO",L127*N127,0)</x:f>
        <x:v>0</x:v>
      </x:c>
      <x:c r="Q127" s="19"/>
      <x:c r="R127" s="23" t="n">
        <x:f>L127*Q127</x:f>
        <x:v>0</x:v>
      </x:c>
      <x:c r="S127" s="23" t="n">
        <x:f>R127-P127</x:f>
        <x:v>0</x:v>
      </x:c>
      <x:c r="T127" s="18" t="str">
        <x:f>IF(M127="","SIN_ACCION",IF(ABS(S127)&lt;1,"OK",IF(S127&gt;0,"EXCESO_GASTO","MENOR_GASTO")))</x:f>
        <x:v>SIN_ACCION</x:v>
      </x:c>
      <x:c r="U127" s="18"/>
    </x:row>
    <x:row r="128" ht="15" hidden="0" customHeight="1">
      <x:c r="A128" s="22"/>
      <x:c r="B128" s="18"/>
      <x:c r="C128" s="18"/>
      <x:c r="D128" s="18"/>
      <x:c r="E128" s="18"/>
      <x:c r="F128" s="18"/>
      <x:c r="G128" s="18"/>
      <x:c r="H128" s="18"/>
      <x:c r="I128" s="18"/>
      <x:c r="J128" s="18"/>
      <x:c r="K128" s="18"/>
      <x:c r="L128" s="23"/>
      <x:c r="M128" s="18"/>
      <x:c r="N128" s="19" t="n">
        <x:f>IFERROR(XLOOKUP(M128,'01_REGLAS_ACCIONES'!$A:$A,'01_REGLAS_ACCIONES'!$Q:$Q,0),0)</x:f>
        <x:v>0</x:v>
      </x:c>
      <x:c r="O128" s="18" t="str">
        <x:f>IFERROR(XLOOKUP(M128,'01_REGLAS_ACCIONES'!$A:$A,'01_REGLAS_ACCIONES'!$P:$P,"SIN_ACCION"),"SIN_ACCION")</x:f>
        <x:v>SIN_ACCION</x:v>
      </x:c>
      <x:c r="P128" s="23" t="n">
        <x:f>IF(O128="DESCUENTO",L128*N128,0)</x:f>
        <x:v>0</x:v>
      </x:c>
      <x:c r="Q128" s="19"/>
      <x:c r="R128" s="23" t="n">
        <x:f>L128*Q128</x:f>
        <x:v>0</x:v>
      </x:c>
      <x:c r="S128" s="23" t="n">
        <x:f>R128-P128</x:f>
        <x:v>0</x:v>
      </x:c>
      <x:c r="T128" s="18" t="str">
        <x:f>IF(M128="","SIN_ACCION",IF(ABS(S128)&lt;1,"OK",IF(S128&gt;0,"EXCESO_GASTO","MENOR_GASTO")))</x:f>
        <x:v>SIN_ACCION</x:v>
      </x:c>
      <x:c r="U128" s="18"/>
    </x:row>
    <x:row r="129" ht="15" hidden="0" customHeight="1">
      <x:c r="A129" s="22"/>
      <x:c r="B129" s="18"/>
      <x:c r="C129" s="18"/>
      <x:c r="D129" s="18"/>
      <x:c r="E129" s="18"/>
      <x:c r="F129" s="18"/>
      <x:c r="G129" s="18"/>
      <x:c r="H129" s="18"/>
      <x:c r="I129" s="18"/>
      <x:c r="J129" s="18"/>
      <x:c r="K129" s="18"/>
      <x:c r="L129" s="23"/>
      <x:c r="M129" s="18"/>
      <x:c r="N129" s="19" t="n">
        <x:f>IFERROR(XLOOKUP(M129,'01_REGLAS_ACCIONES'!$A:$A,'01_REGLAS_ACCIONES'!$Q:$Q,0),0)</x:f>
        <x:v>0</x:v>
      </x:c>
      <x:c r="O129" s="18" t="str">
        <x:f>IFERROR(XLOOKUP(M129,'01_REGLAS_ACCIONES'!$A:$A,'01_REGLAS_ACCIONES'!$P:$P,"SIN_ACCION"),"SIN_ACCION")</x:f>
        <x:v>SIN_ACCION</x:v>
      </x:c>
      <x:c r="P129" s="23" t="n">
        <x:f>IF(O129="DESCUENTO",L129*N129,0)</x:f>
        <x:v>0</x:v>
      </x:c>
      <x:c r="Q129" s="19"/>
      <x:c r="R129" s="23" t="n">
        <x:f>L129*Q129</x:f>
        <x:v>0</x:v>
      </x:c>
      <x:c r="S129" s="23" t="n">
        <x:f>R129-P129</x:f>
        <x:v>0</x:v>
      </x:c>
      <x:c r="T129" s="18" t="str">
        <x:f>IF(M129="","SIN_ACCION",IF(ABS(S129)&lt;1,"OK",IF(S129&gt;0,"EXCESO_GASTO","MENOR_GASTO")))</x:f>
        <x:v>SIN_ACCION</x:v>
      </x:c>
      <x:c r="U129" s="18"/>
    </x:row>
    <x:row r="130" ht="15" hidden="0" customHeight="1">
      <x:c r="A130" s="22"/>
      <x:c r="B130" s="18"/>
      <x:c r="C130" s="18"/>
      <x:c r="D130" s="18"/>
      <x:c r="E130" s="18"/>
      <x:c r="F130" s="18"/>
      <x:c r="G130" s="18"/>
      <x:c r="H130" s="18"/>
      <x:c r="I130" s="18"/>
      <x:c r="J130" s="18"/>
      <x:c r="K130" s="18"/>
      <x:c r="L130" s="23"/>
      <x:c r="M130" s="18"/>
      <x:c r="N130" s="19" t="n">
        <x:f>IFERROR(XLOOKUP(M130,'01_REGLAS_ACCIONES'!$A:$A,'01_REGLAS_ACCIONES'!$Q:$Q,0),0)</x:f>
        <x:v>0</x:v>
      </x:c>
      <x:c r="O130" s="18" t="str">
        <x:f>IFERROR(XLOOKUP(M130,'01_REGLAS_ACCIONES'!$A:$A,'01_REGLAS_ACCIONES'!$P:$P,"SIN_ACCION"),"SIN_ACCION")</x:f>
        <x:v>SIN_ACCION</x:v>
      </x:c>
      <x:c r="P130" s="23" t="n">
        <x:f>IF(O130="DESCUENTO",L130*N130,0)</x:f>
        <x:v>0</x:v>
      </x:c>
      <x:c r="Q130" s="19"/>
      <x:c r="R130" s="23" t="n">
        <x:f>L130*Q130</x:f>
        <x:v>0</x:v>
      </x:c>
      <x:c r="S130" s="23" t="n">
        <x:f>R130-P130</x:f>
        <x:v>0</x:v>
      </x:c>
      <x:c r="T130" s="18" t="str">
        <x:f>IF(M130="","SIN_ACCION",IF(ABS(S130)&lt;1,"OK",IF(S130&gt;0,"EXCESO_GASTO","MENOR_GASTO")))</x:f>
        <x:v>SIN_ACCION</x:v>
      </x:c>
      <x:c r="U130" s="18"/>
    </x:row>
    <x:row r="131" ht="15" hidden="0" customHeight="1">
      <x:c r="A131" s="22"/>
      <x:c r="B131" s="18"/>
      <x:c r="C131" s="18"/>
      <x:c r="D131" s="18"/>
      <x:c r="E131" s="18"/>
      <x:c r="F131" s="18"/>
      <x:c r="G131" s="18"/>
      <x:c r="H131" s="18"/>
      <x:c r="I131" s="18"/>
      <x:c r="J131" s="18"/>
      <x:c r="K131" s="18"/>
      <x:c r="L131" s="23"/>
      <x:c r="M131" s="18"/>
      <x:c r="N131" s="19" t="n">
        <x:f>IFERROR(XLOOKUP(M131,'01_REGLAS_ACCIONES'!$A:$A,'01_REGLAS_ACCIONES'!$Q:$Q,0),0)</x:f>
        <x:v>0</x:v>
      </x:c>
      <x:c r="O131" s="18" t="str">
        <x:f>IFERROR(XLOOKUP(M131,'01_REGLAS_ACCIONES'!$A:$A,'01_REGLAS_ACCIONES'!$P:$P,"SIN_ACCION"),"SIN_ACCION")</x:f>
        <x:v>SIN_ACCION</x:v>
      </x:c>
      <x:c r="P131" s="23" t="n">
        <x:f>IF(O131="DESCUENTO",L131*N131,0)</x:f>
        <x:v>0</x:v>
      </x:c>
      <x:c r="Q131" s="19"/>
      <x:c r="R131" s="23" t="n">
        <x:f>L131*Q131</x:f>
        <x:v>0</x:v>
      </x:c>
      <x:c r="S131" s="23" t="n">
        <x:f>R131-P131</x:f>
        <x:v>0</x:v>
      </x:c>
      <x:c r="T131" s="18" t="str">
        <x:f>IF(M131="","SIN_ACCION",IF(ABS(S131)&lt;1,"OK",IF(S131&gt;0,"EXCESO_GASTO","MENOR_GASTO")))</x:f>
        <x:v>SIN_ACCION</x:v>
      </x:c>
      <x:c r="U131" s="18"/>
    </x:row>
    <x:row r="132" ht="15" hidden="0" customHeight="1">
      <x:c r="A132" s="22"/>
      <x:c r="B132" s="18"/>
      <x:c r="C132" s="18"/>
      <x:c r="D132" s="18"/>
      <x:c r="E132" s="18"/>
      <x:c r="F132" s="18"/>
      <x:c r="G132" s="18"/>
      <x:c r="H132" s="18"/>
      <x:c r="I132" s="18"/>
      <x:c r="J132" s="18"/>
      <x:c r="K132" s="18"/>
      <x:c r="L132" s="23"/>
      <x:c r="M132" s="18"/>
      <x:c r="N132" s="19" t="n">
        <x:f>IFERROR(XLOOKUP(M132,'01_REGLAS_ACCIONES'!$A:$A,'01_REGLAS_ACCIONES'!$Q:$Q,0),0)</x:f>
        <x:v>0</x:v>
      </x:c>
      <x:c r="O132" s="18" t="str">
        <x:f>IFERROR(XLOOKUP(M132,'01_REGLAS_ACCIONES'!$A:$A,'01_REGLAS_ACCIONES'!$P:$P,"SIN_ACCION"),"SIN_ACCION")</x:f>
        <x:v>SIN_ACCION</x:v>
      </x:c>
      <x:c r="P132" s="23" t="n">
        <x:f>IF(O132="DESCUENTO",L132*N132,0)</x:f>
        <x:v>0</x:v>
      </x:c>
      <x:c r="Q132" s="19"/>
      <x:c r="R132" s="23" t="n">
        <x:f>L132*Q132</x:f>
        <x:v>0</x:v>
      </x:c>
      <x:c r="S132" s="23" t="n">
        <x:f>R132-P132</x:f>
        <x:v>0</x:v>
      </x:c>
      <x:c r="T132" s="18" t="str">
        <x:f>IF(M132="","SIN_ACCION",IF(ABS(S132)&lt;1,"OK",IF(S132&gt;0,"EXCESO_GASTO","MENOR_GASTO")))</x:f>
        <x:v>SIN_ACCION</x:v>
      </x:c>
      <x:c r="U132" s="18"/>
    </x:row>
    <x:row r="133" ht="15" hidden="0" customHeight="1">
      <x:c r="A133" s="22"/>
      <x:c r="B133" s="18"/>
      <x:c r="C133" s="18"/>
      <x:c r="D133" s="18"/>
      <x:c r="E133" s="18"/>
      <x:c r="F133" s="18"/>
      <x:c r="G133" s="18"/>
      <x:c r="H133" s="18"/>
      <x:c r="I133" s="18"/>
      <x:c r="J133" s="18"/>
      <x:c r="K133" s="18"/>
      <x:c r="L133" s="23"/>
      <x:c r="M133" s="18"/>
      <x:c r="N133" s="19" t="n">
        <x:f>IFERROR(XLOOKUP(M133,'01_REGLAS_ACCIONES'!$A:$A,'01_REGLAS_ACCIONES'!$Q:$Q,0),0)</x:f>
        <x:v>0</x:v>
      </x:c>
      <x:c r="O133" s="18" t="str">
        <x:f>IFERROR(XLOOKUP(M133,'01_REGLAS_ACCIONES'!$A:$A,'01_REGLAS_ACCIONES'!$P:$P,"SIN_ACCION"),"SIN_ACCION")</x:f>
        <x:v>SIN_ACCION</x:v>
      </x:c>
      <x:c r="P133" s="23" t="n">
        <x:f>IF(O133="DESCUENTO",L133*N133,0)</x:f>
        <x:v>0</x:v>
      </x:c>
      <x:c r="Q133" s="19"/>
      <x:c r="R133" s="23" t="n">
        <x:f>L133*Q133</x:f>
        <x:v>0</x:v>
      </x:c>
      <x:c r="S133" s="23" t="n">
        <x:f>R133-P133</x:f>
        <x:v>0</x:v>
      </x:c>
      <x:c r="T133" s="18" t="str">
        <x:f>IF(M133="","SIN_ACCION",IF(ABS(S133)&lt;1,"OK",IF(S133&gt;0,"EXCESO_GASTO","MENOR_GASTO")))</x:f>
        <x:v>SIN_ACCION</x:v>
      </x:c>
      <x:c r="U133" s="18"/>
    </x:row>
    <x:row r="134" ht="15" hidden="0" customHeight="1">
      <x:c r="A134" s="22"/>
      <x:c r="B134" s="18"/>
      <x:c r="C134" s="18"/>
      <x:c r="D134" s="18"/>
      <x:c r="E134" s="18"/>
      <x:c r="F134" s="18"/>
      <x:c r="G134" s="18"/>
      <x:c r="H134" s="18"/>
      <x:c r="I134" s="18"/>
      <x:c r="J134" s="18"/>
      <x:c r="K134" s="18"/>
      <x:c r="L134" s="23"/>
      <x:c r="M134" s="18"/>
      <x:c r="N134" s="19" t="n">
        <x:f>IFERROR(XLOOKUP(M134,'01_REGLAS_ACCIONES'!$A:$A,'01_REGLAS_ACCIONES'!$Q:$Q,0),0)</x:f>
        <x:v>0</x:v>
      </x:c>
      <x:c r="O134" s="18" t="str">
        <x:f>IFERROR(XLOOKUP(M134,'01_REGLAS_ACCIONES'!$A:$A,'01_REGLAS_ACCIONES'!$P:$P,"SIN_ACCION"),"SIN_ACCION")</x:f>
        <x:v>SIN_ACCION</x:v>
      </x:c>
      <x:c r="P134" s="23" t="n">
        <x:f>IF(O134="DESCUENTO",L134*N134,0)</x:f>
        <x:v>0</x:v>
      </x:c>
      <x:c r="Q134" s="19"/>
      <x:c r="R134" s="23" t="n">
        <x:f>L134*Q134</x:f>
        <x:v>0</x:v>
      </x:c>
      <x:c r="S134" s="23" t="n">
        <x:f>R134-P134</x:f>
        <x:v>0</x:v>
      </x:c>
      <x:c r="T134" s="18" t="str">
        <x:f>IF(M134="","SIN_ACCION",IF(ABS(S134)&lt;1,"OK",IF(S134&gt;0,"EXCESO_GASTO","MENOR_GASTO")))</x:f>
        <x:v>SIN_ACCION</x:v>
      </x:c>
      <x:c r="U134" s="18"/>
    </x:row>
    <x:row r="135" ht="15" hidden="0" customHeight="1">
      <x:c r="A135" s="22"/>
      <x:c r="B135" s="18"/>
      <x:c r="C135" s="18"/>
      <x:c r="D135" s="18"/>
      <x:c r="E135" s="18"/>
      <x:c r="F135" s="18"/>
      <x:c r="G135" s="18"/>
      <x:c r="H135" s="18"/>
      <x:c r="I135" s="18"/>
      <x:c r="J135" s="18"/>
      <x:c r="K135" s="18"/>
      <x:c r="L135" s="23"/>
      <x:c r="M135" s="18"/>
      <x:c r="N135" s="19" t="n">
        <x:f>IFERROR(XLOOKUP(M135,'01_REGLAS_ACCIONES'!$A:$A,'01_REGLAS_ACCIONES'!$Q:$Q,0),0)</x:f>
        <x:v>0</x:v>
      </x:c>
      <x:c r="O135" s="18" t="str">
        <x:f>IFERROR(XLOOKUP(M135,'01_REGLAS_ACCIONES'!$A:$A,'01_REGLAS_ACCIONES'!$P:$P,"SIN_ACCION"),"SIN_ACCION")</x:f>
        <x:v>SIN_ACCION</x:v>
      </x:c>
      <x:c r="P135" s="23" t="n">
        <x:f>IF(O135="DESCUENTO",L135*N135,0)</x:f>
        <x:v>0</x:v>
      </x:c>
      <x:c r="Q135" s="19"/>
      <x:c r="R135" s="23" t="n">
        <x:f>L135*Q135</x:f>
        <x:v>0</x:v>
      </x:c>
      <x:c r="S135" s="23" t="n">
        <x:f>R135-P135</x:f>
        <x:v>0</x:v>
      </x:c>
      <x:c r="T135" s="18" t="str">
        <x:f>IF(M135="","SIN_ACCION",IF(ABS(S135)&lt;1,"OK",IF(S135&gt;0,"EXCESO_GASTO","MENOR_GASTO")))</x:f>
        <x:v>SIN_ACCION</x:v>
      </x:c>
      <x:c r="U135" s="18"/>
    </x:row>
    <x:row r="136" ht="15" hidden="0" customHeight="1">
      <x:c r="A136" s="22"/>
      <x:c r="B136" s="18"/>
      <x:c r="C136" s="18"/>
      <x:c r="D136" s="18"/>
      <x:c r="E136" s="18"/>
      <x:c r="F136" s="18"/>
      <x:c r="G136" s="18"/>
      <x:c r="H136" s="18"/>
      <x:c r="I136" s="18"/>
      <x:c r="J136" s="18"/>
      <x:c r="K136" s="18"/>
      <x:c r="L136" s="23"/>
      <x:c r="M136" s="18"/>
      <x:c r="N136" s="19" t="n">
        <x:f>IFERROR(XLOOKUP(M136,'01_REGLAS_ACCIONES'!$A:$A,'01_REGLAS_ACCIONES'!$Q:$Q,0),0)</x:f>
        <x:v>0</x:v>
      </x:c>
      <x:c r="O136" s="18" t="str">
        <x:f>IFERROR(XLOOKUP(M136,'01_REGLAS_ACCIONES'!$A:$A,'01_REGLAS_ACCIONES'!$P:$P,"SIN_ACCION"),"SIN_ACCION")</x:f>
        <x:v>SIN_ACCION</x:v>
      </x:c>
      <x:c r="P136" s="23" t="n">
        <x:f>IF(O136="DESCUENTO",L136*N136,0)</x:f>
        <x:v>0</x:v>
      </x:c>
      <x:c r="Q136" s="19"/>
      <x:c r="R136" s="23" t="n">
        <x:f>L136*Q136</x:f>
        <x:v>0</x:v>
      </x:c>
      <x:c r="S136" s="23" t="n">
        <x:f>R136-P136</x:f>
        <x:v>0</x:v>
      </x:c>
      <x:c r="T136" s="18" t="str">
        <x:f>IF(M136="","SIN_ACCION",IF(ABS(S136)&lt;1,"OK",IF(S136&gt;0,"EXCESO_GASTO","MENOR_GASTO")))</x:f>
        <x:v>SIN_ACCION</x:v>
      </x:c>
      <x:c r="U136" s="18"/>
    </x:row>
    <x:row r="137" ht="15" hidden="0" customHeight="1">
      <x:c r="A137" s="22"/>
      <x:c r="B137" s="18"/>
      <x:c r="C137" s="18"/>
      <x:c r="D137" s="18"/>
      <x:c r="E137" s="18"/>
      <x:c r="F137" s="18"/>
      <x:c r="G137" s="18"/>
      <x:c r="H137" s="18"/>
      <x:c r="I137" s="18"/>
      <x:c r="J137" s="18"/>
      <x:c r="K137" s="18"/>
      <x:c r="L137" s="23"/>
      <x:c r="M137" s="18"/>
      <x:c r="N137" s="19" t="n">
        <x:f>IFERROR(XLOOKUP(M137,'01_REGLAS_ACCIONES'!$A:$A,'01_REGLAS_ACCIONES'!$Q:$Q,0),0)</x:f>
        <x:v>0</x:v>
      </x:c>
      <x:c r="O137" s="18" t="str">
        <x:f>IFERROR(XLOOKUP(M137,'01_REGLAS_ACCIONES'!$A:$A,'01_REGLAS_ACCIONES'!$P:$P,"SIN_ACCION"),"SIN_ACCION")</x:f>
        <x:v>SIN_ACCION</x:v>
      </x:c>
      <x:c r="P137" s="23" t="n">
        <x:f>IF(O137="DESCUENTO",L137*N137,0)</x:f>
        <x:v>0</x:v>
      </x:c>
      <x:c r="Q137" s="19"/>
      <x:c r="R137" s="23" t="n">
        <x:f>L137*Q137</x:f>
        <x:v>0</x:v>
      </x:c>
      <x:c r="S137" s="23" t="n">
        <x:f>R137-P137</x:f>
        <x:v>0</x:v>
      </x:c>
      <x:c r="T137" s="18" t="str">
        <x:f>IF(M137="","SIN_ACCION",IF(ABS(S137)&lt;1,"OK",IF(S137&gt;0,"EXCESO_GASTO","MENOR_GASTO")))</x:f>
        <x:v>SIN_ACCION</x:v>
      </x:c>
      <x:c r="U137" s="18"/>
    </x:row>
    <x:row r="138" ht="15" hidden="0" customHeight="1">
      <x:c r="A138" s="22"/>
      <x:c r="B138" s="18"/>
      <x:c r="C138" s="18"/>
      <x:c r="D138" s="18"/>
      <x:c r="E138" s="18"/>
      <x:c r="F138" s="18"/>
      <x:c r="G138" s="18"/>
      <x:c r="H138" s="18"/>
      <x:c r="I138" s="18"/>
      <x:c r="J138" s="18"/>
      <x:c r="K138" s="18"/>
      <x:c r="L138" s="23"/>
      <x:c r="M138" s="18"/>
      <x:c r="N138" s="19" t="n">
        <x:f>IFERROR(XLOOKUP(M138,'01_REGLAS_ACCIONES'!$A:$A,'01_REGLAS_ACCIONES'!$Q:$Q,0),0)</x:f>
        <x:v>0</x:v>
      </x:c>
      <x:c r="O138" s="18" t="str">
        <x:f>IFERROR(XLOOKUP(M138,'01_REGLAS_ACCIONES'!$A:$A,'01_REGLAS_ACCIONES'!$P:$P,"SIN_ACCION"),"SIN_ACCION")</x:f>
        <x:v>SIN_ACCION</x:v>
      </x:c>
      <x:c r="P138" s="23" t="n">
        <x:f>IF(O138="DESCUENTO",L138*N138,0)</x:f>
        <x:v>0</x:v>
      </x:c>
      <x:c r="Q138" s="19"/>
      <x:c r="R138" s="23" t="n">
        <x:f>L138*Q138</x:f>
        <x:v>0</x:v>
      </x:c>
      <x:c r="S138" s="23" t="n">
        <x:f>R138-P138</x:f>
        <x:v>0</x:v>
      </x:c>
      <x:c r="T138" s="18" t="str">
        <x:f>IF(M138="","SIN_ACCION",IF(ABS(S138)&lt;1,"OK",IF(S138&gt;0,"EXCESO_GASTO","MENOR_GASTO")))</x:f>
        <x:v>SIN_ACCION</x:v>
      </x:c>
      <x:c r="U138" s="18"/>
    </x:row>
    <x:row r="139" ht="15" hidden="0" customHeight="1">
      <x:c r="A139" s="22"/>
      <x:c r="B139" s="18"/>
      <x:c r="C139" s="18"/>
      <x:c r="D139" s="18"/>
      <x:c r="E139" s="18"/>
      <x:c r="F139" s="18"/>
      <x:c r="G139" s="18"/>
      <x:c r="H139" s="18"/>
      <x:c r="I139" s="18"/>
      <x:c r="J139" s="18"/>
      <x:c r="K139" s="18"/>
      <x:c r="L139" s="23"/>
      <x:c r="M139" s="18"/>
      <x:c r="N139" s="19" t="n">
        <x:f>IFERROR(XLOOKUP(M139,'01_REGLAS_ACCIONES'!$A:$A,'01_REGLAS_ACCIONES'!$Q:$Q,0),0)</x:f>
        <x:v>0</x:v>
      </x:c>
      <x:c r="O139" s="18" t="str">
        <x:f>IFERROR(XLOOKUP(M139,'01_REGLAS_ACCIONES'!$A:$A,'01_REGLAS_ACCIONES'!$P:$P,"SIN_ACCION"),"SIN_ACCION")</x:f>
        <x:v>SIN_ACCION</x:v>
      </x:c>
      <x:c r="P139" s="23" t="n">
        <x:f>IF(O139="DESCUENTO",L139*N139,0)</x:f>
        <x:v>0</x:v>
      </x:c>
      <x:c r="Q139" s="19"/>
      <x:c r="R139" s="23" t="n">
        <x:f>L139*Q139</x:f>
        <x:v>0</x:v>
      </x:c>
      <x:c r="S139" s="23" t="n">
        <x:f>R139-P139</x:f>
        <x:v>0</x:v>
      </x:c>
      <x:c r="T139" s="18" t="str">
        <x:f>IF(M139="","SIN_ACCION",IF(ABS(S139)&lt;1,"OK",IF(S139&gt;0,"EXCESO_GASTO","MENOR_GASTO")))</x:f>
        <x:v>SIN_ACCION</x:v>
      </x:c>
      <x:c r="U139" s="18"/>
    </x:row>
    <x:row r="140" ht="15" hidden="0" customHeight="1">
      <x:c r="A140" s="22"/>
      <x:c r="B140" s="18"/>
      <x:c r="C140" s="18"/>
      <x:c r="D140" s="18"/>
      <x:c r="E140" s="18"/>
      <x:c r="F140" s="18"/>
      <x:c r="G140" s="18"/>
      <x:c r="H140" s="18"/>
      <x:c r="I140" s="18"/>
      <x:c r="J140" s="18"/>
      <x:c r="K140" s="18"/>
      <x:c r="L140" s="23"/>
      <x:c r="M140" s="18"/>
      <x:c r="N140" s="19" t="n">
        <x:f>IFERROR(XLOOKUP(M140,'01_REGLAS_ACCIONES'!$A:$A,'01_REGLAS_ACCIONES'!$Q:$Q,0),0)</x:f>
        <x:v>0</x:v>
      </x:c>
      <x:c r="O140" s="18" t="str">
        <x:f>IFERROR(XLOOKUP(M140,'01_REGLAS_ACCIONES'!$A:$A,'01_REGLAS_ACCIONES'!$P:$P,"SIN_ACCION"),"SIN_ACCION")</x:f>
        <x:v>SIN_ACCION</x:v>
      </x:c>
      <x:c r="P140" s="23" t="n">
        <x:f>IF(O140="DESCUENTO",L140*N140,0)</x:f>
        <x:v>0</x:v>
      </x:c>
      <x:c r="Q140" s="19"/>
      <x:c r="R140" s="23" t="n">
        <x:f>L140*Q140</x:f>
        <x:v>0</x:v>
      </x:c>
      <x:c r="S140" s="23" t="n">
        <x:f>R140-P140</x:f>
        <x:v>0</x:v>
      </x:c>
      <x:c r="T140" s="18" t="str">
        <x:f>IF(M140="","SIN_ACCION",IF(ABS(S140)&lt;1,"OK",IF(S140&gt;0,"EXCESO_GASTO","MENOR_GASTO")))</x:f>
        <x:v>SIN_ACCION</x:v>
      </x:c>
      <x:c r="U140" s="18"/>
    </x:row>
    <x:row r="141" ht="15" hidden="0" customHeight="1">
      <x:c r="A141" s="22"/>
      <x:c r="B141" s="18"/>
      <x:c r="C141" s="18"/>
      <x:c r="D141" s="18"/>
      <x:c r="E141" s="18"/>
      <x:c r="F141" s="18"/>
      <x:c r="G141" s="18"/>
      <x:c r="H141" s="18"/>
      <x:c r="I141" s="18"/>
      <x:c r="J141" s="18"/>
      <x:c r="K141" s="18"/>
      <x:c r="L141" s="23"/>
      <x:c r="M141" s="18"/>
      <x:c r="N141" s="19" t="n">
        <x:f>IFERROR(XLOOKUP(M141,'01_REGLAS_ACCIONES'!$A:$A,'01_REGLAS_ACCIONES'!$Q:$Q,0),0)</x:f>
        <x:v>0</x:v>
      </x:c>
      <x:c r="O141" s="18" t="str">
        <x:f>IFERROR(XLOOKUP(M141,'01_REGLAS_ACCIONES'!$A:$A,'01_REGLAS_ACCIONES'!$P:$P,"SIN_ACCION"),"SIN_ACCION")</x:f>
        <x:v>SIN_ACCION</x:v>
      </x:c>
      <x:c r="P141" s="23" t="n">
        <x:f>IF(O141="DESCUENTO",L141*N141,0)</x:f>
        <x:v>0</x:v>
      </x:c>
      <x:c r="Q141" s="19"/>
      <x:c r="R141" s="23" t="n">
        <x:f>L141*Q141</x:f>
        <x:v>0</x:v>
      </x:c>
      <x:c r="S141" s="23" t="n">
        <x:f>R141-P141</x:f>
        <x:v>0</x:v>
      </x:c>
      <x:c r="T141" s="18" t="str">
        <x:f>IF(M141="","SIN_ACCION",IF(ABS(S141)&lt;1,"OK",IF(S141&gt;0,"EXCESO_GASTO","MENOR_GASTO")))</x:f>
        <x:v>SIN_ACCION</x:v>
      </x:c>
      <x:c r="U141" s="18"/>
    </x:row>
    <x:row r="142" ht="15" hidden="0" customHeight="1">
      <x:c r="A142" s="22"/>
      <x:c r="B142" s="18"/>
      <x:c r="C142" s="18"/>
      <x:c r="D142" s="18"/>
      <x:c r="E142" s="18"/>
      <x:c r="F142" s="18"/>
      <x:c r="G142" s="18"/>
      <x:c r="H142" s="18"/>
      <x:c r="I142" s="18"/>
      <x:c r="J142" s="18"/>
      <x:c r="K142" s="18"/>
      <x:c r="L142" s="23"/>
      <x:c r="M142" s="18"/>
      <x:c r="N142" s="19" t="n">
        <x:f>IFERROR(XLOOKUP(M142,'01_REGLAS_ACCIONES'!$A:$A,'01_REGLAS_ACCIONES'!$Q:$Q,0),0)</x:f>
        <x:v>0</x:v>
      </x:c>
      <x:c r="O142" s="18" t="str">
        <x:f>IFERROR(XLOOKUP(M142,'01_REGLAS_ACCIONES'!$A:$A,'01_REGLAS_ACCIONES'!$P:$P,"SIN_ACCION"),"SIN_ACCION")</x:f>
        <x:v>SIN_ACCION</x:v>
      </x:c>
      <x:c r="P142" s="23" t="n">
        <x:f>IF(O142="DESCUENTO",L142*N142,0)</x:f>
        <x:v>0</x:v>
      </x:c>
      <x:c r="Q142" s="19"/>
      <x:c r="R142" s="23" t="n">
        <x:f>L142*Q142</x:f>
        <x:v>0</x:v>
      </x:c>
      <x:c r="S142" s="23" t="n">
        <x:f>R142-P142</x:f>
        <x:v>0</x:v>
      </x:c>
      <x:c r="T142" s="18" t="str">
        <x:f>IF(M142="","SIN_ACCION",IF(ABS(S142)&lt;1,"OK",IF(S142&gt;0,"EXCESO_GASTO","MENOR_GASTO")))</x:f>
        <x:v>SIN_ACCION</x:v>
      </x:c>
      <x:c r="U142" s="18"/>
    </x:row>
    <x:row r="143" ht="15" hidden="0" customHeight="1">
      <x:c r="A143" s="22"/>
      <x:c r="B143" s="18"/>
      <x:c r="C143" s="18"/>
      <x:c r="D143" s="18"/>
      <x:c r="E143" s="18"/>
      <x:c r="F143" s="18"/>
      <x:c r="G143" s="18"/>
      <x:c r="H143" s="18"/>
      <x:c r="I143" s="18"/>
      <x:c r="J143" s="18"/>
      <x:c r="K143" s="18"/>
      <x:c r="L143" s="23"/>
      <x:c r="M143" s="18"/>
      <x:c r="N143" s="19" t="n">
        <x:f>IFERROR(XLOOKUP(M143,'01_REGLAS_ACCIONES'!$A:$A,'01_REGLAS_ACCIONES'!$Q:$Q,0),0)</x:f>
        <x:v>0</x:v>
      </x:c>
      <x:c r="O143" s="18" t="str">
        <x:f>IFERROR(XLOOKUP(M143,'01_REGLAS_ACCIONES'!$A:$A,'01_REGLAS_ACCIONES'!$P:$P,"SIN_ACCION"),"SIN_ACCION")</x:f>
        <x:v>SIN_ACCION</x:v>
      </x:c>
      <x:c r="P143" s="23" t="n">
        <x:f>IF(O143="DESCUENTO",L143*N143,0)</x:f>
        <x:v>0</x:v>
      </x:c>
      <x:c r="Q143" s="19"/>
      <x:c r="R143" s="23" t="n">
        <x:f>L143*Q143</x:f>
        <x:v>0</x:v>
      </x:c>
      <x:c r="S143" s="23" t="n">
        <x:f>R143-P143</x:f>
        <x:v>0</x:v>
      </x:c>
      <x:c r="T143" s="18" t="str">
        <x:f>IF(M143="","SIN_ACCION",IF(ABS(S143)&lt;1,"OK",IF(S143&gt;0,"EXCESO_GASTO","MENOR_GASTO")))</x:f>
        <x:v>SIN_ACCION</x:v>
      </x:c>
      <x:c r="U143" s="18"/>
    </x:row>
    <x:row r="144" ht="15" hidden="0" customHeight="1">
      <x:c r="A144" s="22"/>
      <x:c r="B144" s="18"/>
      <x:c r="C144" s="18"/>
      <x:c r="D144" s="18"/>
      <x:c r="E144" s="18"/>
      <x:c r="F144" s="18"/>
      <x:c r="G144" s="18"/>
      <x:c r="H144" s="18"/>
      <x:c r="I144" s="18"/>
      <x:c r="J144" s="18"/>
      <x:c r="K144" s="18"/>
      <x:c r="L144" s="23"/>
      <x:c r="M144" s="18"/>
      <x:c r="N144" s="19" t="n">
        <x:f>IFERROR(XLOOKUP(M144,'01_REGLAS_ACCIONES'!$A:$A,'01_REGLAS_ACCIONES'!$Q:$Q,0),0)</x:f>
        <x:v>0</x:v>
      </x:c>
      <x:c r="O144" s="18" t="str">
        <x:f>IFERROR(XLOOKUP(M144,'01_REGLAS_ACCIONES'!$A:$A,'01_REGLAS_ACCIONES'!$P:$P,"SIN_ACCION"),"SIN_ACCION")</x:f>
        <x:v>SIN_ACCION</x:v>
      </x:c>
      <x:c r="P144" s="23" t="n">
        <x:f>IF(O144="DESCUENTO",L144*N144,0)</x:f>
        <x:v>0</x:v>
      </x:c>
      <x:c r="Q144" s="19"/>
      <x:c r="R144" s="23" t="n">
        <x:f>L144*Q144</x:f>
        <x:v>0</x:v>
      </x:c>
      <x:c r="S144" s="23" t="n">
        <x:f>R144-P144</x:f>
        <x:v>0</x:v>
      </x:c>
      <x:c r="T144" s="18" t="str">
        <x:f>IF(M144="","SIN_ACCION",IF(ABS(S144)&lt;1,"OK",IF(S144&gt;0,"EXCESO_GASTO","MENOR_GASTO")))</x:f>
        <x:v>SIN_ACCION</x:v>
      </x:c>
      <x:c r="U144" s="18"/>
    </x:row>
    <x:row r="145" ht="15" hidden="0" customHeight="1">
      <x:c r="A145" s="22"/>
      <x:c r="B145" s="18"/>
      <x:c r="C145" s="18"/>
      <x:c r="D145" s="18"/>
      <x:c r="E145" s="18"/>
      <x:c r="F145" s="18"/>
      <x:c r="G145" s="18"/>
      <x:c r="H145" s="18"/>
      <x:c r="I145" s="18"/>
      <x:c r="J145" s="18"/>
      <x:c r="K145" s="18"/>
      <x:c r="L145" s="23"/>
      <x:c r="M145" s="18"/>
      <x:c r="N145" s="19" t="n">
        <x:f>IFERROR(XLOOKUP(M145,'01_REGLAS_ACCIONES'!$A:$A,'01_REGLAS_ACCIONES'!$Q:$Q,0),0)</x:f>
        <x:v>0</x:v>
      </x:c>
      <x:c r="O145" s="18" t="str">
        <x:f>IFERROR(XLOOKUP(M145,'01_REGLAS_ACCIONES'!$A:$A,'01_REGLAS_ACCIONES'!$P:$P,"SIN_ACCION"),"SIN_ACCION")</x:f>
        <x:v>SIN_ACCION</x:v>
      </x:c>
      <x:c r="P145" s="23" t="n">
        <x:f>IF(O145="DESCUENTO",L145*N145,0)</x:f>
        <x:v>0</x:v>
      </x:c>
      <x:c r="Q145" s="19"/>
      <x:c r="R145" s="23" t="n">
        <x:f>L145*Q145</x:f>
        <x:v>0</x:v>
      </x:c>
      <x:c r="S145" s="23" t="n">
        <x:f>R145-P145</x:f>
        <x:v>0</x:v>
      </x:c>
      <x:c r="T145" s="18" t="str">
        <x:f>IF(M145="","SIN_ACCION",IF(ABS(S145)&lt;1,"OK",IF(S145&gt;0,"EXCESO_GASTO","MENOR_GASTO")))</x:f>
        <x:v>SIN_ACCION</x:v>
      </x:c>
      <x:c r="U145" s="18"/>
    </x:row>
    <x:row r="146" ht="15" hidden="0" customHeight="1">
      <x:c r="A146" s="22"/>
      <x:c r="B146" s="18"/>
      <x:c r="C146" s="18"/>
      <x:c r="D146" s="18"/>
      <x:c r="E146" s="18"/>
      <x:c r="F146" s="18"/>
      <x:c r="G146" s="18"/>
      <x:c r="H146" s="18"/>
      <x:c r="I146" s="18"/>
      <x:c r="J146" s="18"/>
      <x:c r="K146" s="18"/>
      <x:c r="L146" s="23"/>
      <x:c r="M146" s="18"/>
      <x:c r="N146" s="19" t="n">
        <x:f>IFERROR(XLOOKUP(M146,'01_REGLAS_ACCIONES'!$A:$A,'01_REGLAS_ACCIONES'!$Q:$Q,0),0)</x:f>
        <x:v>0</x:v>
      </x:c>
      <x:c r="O146" s="18" t="str">
        <x:f>IFERROR(XLOOKUP(M146,'01_REGLAS_ACCIONES'!$A:$A,'01_REGLAS_ACCIONES'!$P:$P,"SIN_ACCION"),"SIN_ACCION")</x:f>
        <x:v>SIN_ACCION</x:v>
      </x:c>
      <x:c r="P146" s="23" t="n">
        <x:f>IF(O146="DESCUENTO",L146*N146,0)</x:f>
        <x:v>0</x:v>
      </x:c>
      <x:c r="Q146" s="19"/>
      <x:c r="R146" s="23" t="n">
        <x:f>L146*Q146</x:f>
        <x:v>0</x:v>
      </x:c>
      <x:c r="S146" s="23" t="n">
        <x:f>R146-P146</x:f>
        <x:v>0</x:v>
      </x:c>
      <x:c r="T146" s="18" t="str">
        <x:f>IF(M146="","SIN_ACCION",IF(ABS(S146)&lt;1,"OK",IF(S146&gt;0,"EXCESO_GASTO","MENOR_GASTO")))</x:f>
        <x:v>SIN_ACCION</x:v>
      </x:c>
      <x:c r="U146" s="18"/>
    </x:row>
    <x:row r="147" ht="15" hidden="0" customHeight="1">
      <x:c r="A147" s="22"/>
      <x:c r="B147" s="18"/>
      <x:c r="C147" s="18"/>
      <x:c r="D147" s="18"/>
      <x:c r="E147" s="18"/>
      <x:c r="F147" s="18"/>
      <x:c r="G147" s="18"/>
      <x:c r="H147" s="18"/>
      <x:c r="I147" s="18"/>
      <x:c r="J147" s="18"/>
      <x:c r="K147" s="18"/>
      <x:c r="L147" s="23"/>
      <x:c r="M147" s="18"/>
      <x:c r="N147" s="19" t="n">
        <x:f>IFERROR(XLOOKUP(M147,'01_REGLAS_ACCIONES'!$A:$A,'01_REGLAS_ACCIONES'!$Q:$Q,0),0)</x:f>
        <x:v>0</x:v>
      </x:c>
      <x:c r="O147" s="18" t="str">
        <x:f>IFERROR(XLOOKUP(M147,'01_REGLAS_ACCIONES'!$A:$A,'01_REGLAS_ACCIONES'!$P:$P,"SIN_ACCION"),"SIN_ACCION")</x:f>
        <x:v>SIN_ACCION</x:v>
      </x:c>
      <x:c r="P147" s="23" t="n">
        <x:f>IF(O147="DESCUENTO",L147*N147,0)</x:f>
        <x:v>0</x:v>
      </x:c>
      <x:c r="Q147" s="19"/>
      <x:c r="R147" s="23" t="n">
        <x:f>L147*Q147</x:f>
        <x:v>0</x:v>
      </x:c>
      <x:c r="S147" s="23" t="n">
        <x:f>R147-P147</x:f>
        <x:v>0</x:v>
      </x:c>
      <x:c r="T147" s="18" t="str">
        <x:f>IF(M147="","SIN_ACCION",IF(ABS(S147)&lt;1,"OK",IF(S147&gt;0,"EXCESO_GASTO","MENOR_GASTO")))</x:f>
        <x:v>SIN_ACCION</x:v>
      </x:c>
      <x:c r="U147" s="18"/>
    </x:row>
    <x:row r="148" ht="15" hidden="0" customHeight="1">
      <x:c r="A148" s="22"/>
      <x:c r="B148" s="18"/>
      <x:c r="C148" s="18"/>
      <x:c r="D148" s="18"/>
      <x:c r="E148" s="18"/>
      <x:c r="F148" s="18"/>
      <x:c r="G148" s="18"/>
      <x:c r="H148" s="18"/>
      <x:c r="I148" s="18"/>
      <x:c r="J148" s="18"/>
      <x:c r="K148" s="18"/>
      <x:c r="L148" s="23"/>
      <x:c r="M148" s="18"/>
      <x:c r="N148" s="19" t="n">
        <x:f>IFERROR(XLOOKUP(M148,'01_REGLAS_ACCIONES'!$A:$A,'01_REGLAS_ACCIONES'!$Q:$Q,0),0)</x:f>
        <x:v>0</x:v>
      </x:c>
      <x:c r="O148" s="18" t="str">
        <x:f>IFERROR(XLOOKUP(M148,'01_REGLAS_ACCIONES'!$A:$A,'01_REGLAS_ACCIONES'!$P:$P,"SIN_ACCION"),"SIN_ACCION")</x:f>
        <x:v>SIN_ACCION</x:v>
      </x:c>
      <x:c r="P148" s="23" t="n">
        <x:f>IF(O148="DESCUENTO",L148*N148,0)</x:f>
        <x:v>0</x:v>
      </x:c>
      <x:c r="Q148" s="19"/>
      <x:c r="R148" s="23" t="n">
        <x:f>L148*Q148</x:f>
        <x:v>0</x:v>
      </x:c>
      <x:c r="S148" s="23" t="n">
        <x:f>R148-P148</x:f>
        <x:v>0</x:v>
      </x:c>
      <x:c r="T148" s="18" t="str">
        <x:f>IF(M148="","SIN_ACCION",IF(ABS(S148)&lt;1,"OK",IF(S148&gt;0,"EXCESO_GASTO","MENOR_GASTO")))</x:f>
        <x:v>SIN_ACCION</x:v>
      </x:c>
      <x:c r="U148" s="18"/>
    </x:row>
    <x:row r="149" ht="15" hidden="0" customHeight="1">
      <x:c r="A149" s="22"/>
      <x:c r="B149" s="18"/>
      <x:c r="C149" s="18"/>
      <x:c r="D149" s="18"/>
      <x:c r="E149" s="18"/>
      <x:c r="F149" s="18"/>
      <x:c r="G149" s="18"/>
      <x:c r="H149" s="18"/>
      <x:c r="I149" s="18"/>
      <x:c r="J149" s="18"/>
      <x:c r="K149" s="18"/>
      <x:c r="L149" s="23"/>
      <x:c r="M149" s="18"/>
      <x:c r="N149" s="19" t="n">
        <x:f>IFERROR(XLOOKUP(M149,'01_REGLAS_ACCIONES'!$A:$A,'01_REGLAS_ACCIONES'!$Q:$Q,0),0)</x:f>
        <x:v>0</x:v>
      </x:c>
      <x:c r="O149" s="18" t="str">
        <x:f>IFERROR(XLOOKUP(M149,'01_REGLAS_ACCIONES'!$A:$A,'01_REGLAS_ACCIONES'!$P:$P,"SIN_ACCION"),"SIN_ACCION")</x:f>
        <x:v>SIN_ACCION</x:v>
      </x:c>
      <x:c r="P149" s="23" t="n">
        <x:f>IF(O149="DESCUENTO",L149*N149,0)</x:f>
        <x:v>0</x:v>
      </x:c>
      <x:c r="Q149" s="19"/>
      <x:c r="R149" s="23" t="n">
        <x:f>L149*Q149</x:f>
        <x:v>0</x:v>
      </x:c>
      <x:c r="S149" s="23" t="n">
        <x:f>R149-P149</x:f>
        <x:v>0</x:v>
      </x:c>
      <x:c r="T149" s="18" t="str">
        <x:f>IF(M149="","SIN_ACCION",IF(ABS(S149)&lt;1,"OK",IF(S149&gt;0,"EXCESO_GASTO","MENOR_GASTO")))</x:f>
        <x:v>SIN_ACCION</x:v>
      </x:c>
      <x:c r="U149" s="18"/>
    </x:row>
    <x:row r="150" ht="15" hidden="0" customHeight="1">
      <x:c r="A150" s="22"/>
      <x:c r="B150" s="18"/>
      <x:c r="C150" s="18"/>
      <x:c r="D150" s="18"/>
      <x:c r="E150" s="18"/>
      <x:c r="F150" s="18"/>
      <x:c r="G150" s="18"/>
      <x:c r="H150" s="18"/>
      <x:c r="I150" s="18"/>
      <x:c r="J150" s="18"/>
      <x:c r="K150" s="18"/>
      <x:c r="L150" s="23"/>
      <x:c r="M150" s="18"/>
      <x:c r="N150" s="19" t="n">
        <x:f>IFERROR(XLOOKUP(M150,'01_REGLAS_ACCIONES'!$A:$A,'01_REGLAS_ACCIONES'!$Q:$Q,0),0)</x:f>
        <x:v>0</x:v>
      </x:c>
      <x:c r="O150" s="18" t="str">
        <x:f>IFERROR(XLOOKUP(M150,'01_REGLAS_ACCIONES'!$A:$A,'01_REGLAS_ACCIONES'!$P:$P,"SIN_ACCION"),"SIN_ACCION")</x:f>
        <x:v>SIN_ACCION</x:v>
      </x:c>
      <x:c r="P150" s="23" t="n">
        <x:f>IF(O150="DESCUENTO",L150*N150,0)</x:f>
        <x:v>0</x:v>
      </x:c>
      <x:c r="Q150" s="19"/>
      <x:c r="R150" s="23" t="n">
        <x:f>L150*Q150</x:f>
        <x:v>0</x:v>
      </x:c>
      <x:c r="S150" s="23" t="n">
        <x:f>R150-P150</x:f>
        <x:v>0</x:v>
      </x:c>
      <x:c r="T150" s="18" t="str">
        <x:f>IF(M150="","SIN_ACCION",IF(ABS(S150)&lt;1,"OK",IF(S150&gt;0,"EXCESO_GASTO","MENOR_GASTO")))</x:f>
        <x:v>SIN_ACCION</x:v>
      </x:c>
      <x:c r="U150" s="18"/>
    </x:row>
    <x:row r="151" ht="15" hidden="0" customHeight="1">
      <x:c r="A151" s="22"/>
      <x:c r="B151" s="18"/>
      <x:c r="C151" s="18"/>
      <x:c r="D151" s="18"/>
      <x:c r="E151" s="18"/>
      <x:c r="F151" s="18"/>
      <x:c r="G151" s="18"/>
      <x:c r="H151" s="18"/>
      <x:c r="I151" s="18"/>
      <x:c r="J151" s="18"/>
      <x:c r="K151" s="18"/>
      <x:c r="L151" s="23"/>
      <x:c r="M151" s="18"/>
      <x:c r="N151" s="19" t="n">
        <x:f>IFERROR(XLOOKUP(M151,'01_REGLAS_ACCIONES'!$A:$A,'01_REGLAS_ACCIONES'!$Q:$Q,0),0)</x:f>
        <x:v>0</x:v>
      </x:c>
      <x:c r="O151" s="18" t="str">
        <x:f>IFERROR(XLOOKUP(M151,'01_REGLAS_ACCIONES'!$A:$A,'01_REGLAS_ACCIONES'!$P:$P,"SIN_ACCION"),"SIN_ACCION")</x:f>
        <x:v>SIN_ACCION</x:v>
      </x:c>
      <x:c r="P151" s="23" t="n">
        <x:f>IF(O151="DESCUENTO",L151*N151,0)</x:f>
        <x:v>0</x:v>
      </x:c>
      <x:c r="Q151" s="19"/>
      <x:c r="R151" s="23" t="n">
        <x:f>L151*Q151</x:f>
        <x:v>0</x:v>
      </x:c>
      <x:c r="S151" s="23" t="n">
        <x:f>R151-P151</x:f>
        <x:v>0</x:v>
      </x:c>
      <x:c r="T151" s="18" t="str">
        <x:f>IF(M151="","SIN_ACCION",IF(ABS(S151)&lt;1,"OK",IF(S151&gt;0,"EXCESO_GASTO","MENOR_GASTO")))</x:f>
        <x:v>SIN_ACCION</x:v>
      </x:c>
      <x:c r="U151" s="18"/>
    </x:row>
    <x:row r="152" ht="15" hidden="0" customHeight="1">
      <x:c r="A152" s="22"/>
      <x:c r="B152" s="18"/>
      <x:c r="C152" s="18"/>
      <x:c r="D152" s="18"/>
      <x:c r="E152" s="18"/>
      <x:c r="F152" s="18"/>
      <x:c r="G152" s="18"/>
      <x:c r="H152" s="18"/>
      <x:c r="I152" s="18"/>
      <x:c r="J152" s="18"/>
      <x:c r="K152" s="18"/>
      <x:c r="L152" s="23"/>
      <x:c r="M152" s="18"/>
      <x:c r="N152" s="19" t="n">
        <x:f>IFERROR(XLOOKUP(M152,'01_REGLAS_ACCIONES'!$A:$A,'01_REGLAS_ACCIONES'!$Q:$Q,0),0)</x:f>
        <x:v>0</x:v>
      </x:c>
      <x:c r="O152" s="18" t="str">
        <x:f>IFERROR(XLOOKUP(M152,'01_REGLAS_ACCIONES'!$A:$A,'01_REGLAS_ACCIONES'!$P:$P,"SIN_ACCION"),"SIN_ACCION")</x:f>
        <x:v>SIN_ACCION</x:v>
      </x:c>
      <x:c r="P152" s="23" t="n">
        <x:f>IF(O152="DESCUENTO",L152*N152,0)</x:f>
        <x:v>0</x:v>
      </x:c>
      <x:c r="Q152" s="19"/>
      <x:c r="R152" s="23" t="n">
        <x:f>L152*Q152</x:f>
        <x:v>0</x:v>
      </x:c>
      <x:c r="S152" s="23" t="n">
        <x:f>R152-P152</x:f>
        <x:v>0</x:v>
      </x:c>
      <x:c r="T152" s="18" t="str">
        <x:f>IF(M152="","SIN_ACCION",IF(ABS(S152)&lt;1,"OK",IF(S152&gt;0,"EXCESO_GASTO","MENOR_GASTO")))</x:f>
        <x:v>SIN_ACCION</x:v>
      </x:c>
      <x:c r="U152" s="18"/>
    </x:row>
    <x:row r="153" ht="15" hidden="0" customHeight="1">
      <x:c r="A153" s="22"/>
      <x:c r="B153" s="18"/>
      <x:c r="C153" s="18"/>
      <x:c r="D153" s="18"/>
      <x:c r="E153" s="18"/>
      <x:c r="F153" s="18"/>
      <x:c r="G153" s="18"/>
      <x:c r="H153" s="18"/>
      <x:c r="I153" s="18"/>
      <x:c r="J153" s="18"/>
      <x:c r="K153" s="18"/>
      <x:c r="L153" s="23"/>
      <x:c r="M153" s="18"/>
      <x:c r="N153" s="19" t="n">
        <x:f>IFERROR(XLOOKUP(M153,'01_REGLAS_ACCIONES'!$A:$A,'01_REGLAS_ACCIONES'!$Q:$Q,0),0)</x:f>
        <x:v>0</x:v>
      </x:c>
      <x:c r="O153" s="18" t="str">
        <x:f>IFERROR(XLOOKUP(M153,'01_REGLAS_ACCIONES'!$A:$A,'01_REGLAS_ACCIONES'!$P:$P,"SIN_ACCION"),"SIN_ACCION")</x:f>
        <x:v>SIN_ACCION</x:v>
      </x:c>
      <x:c r="P153" s="23" t="n">
        <x:f>IF(O153="DESCUENTO",L153*N153,0)</x:f>
        <x:v>0</x:v>
      </x:c>
      <x:c r="Q153" s="19"/>
      <x:c r="R153" s="23" t="n">
        <x:f>L153*Q153</x:f>
        <x:v>0</x:v>
      </x:c>
      <x:c r="S153" s="23" t="n">
        <x:f>R153-P153</x:f>
        <x:v>0</x:v>
      </x:c>
      <x:c r="T153" s="18" t="str">
        <x:f>IF(M153="","SIN_ACCION",IF(ABS(S153)&lt;1,"OK",IF(S153&gt;0,"EXCESO_GASTO","MENOR_GASTO")))</x:f>
        <x:v>SIN_ACCION</x:v>
      </x:c>
      <x:c r="U153" s="18"/>
    </x:row>
    <x:row r="154" ht="15" hidden="0" customHeight="1">
      <x:c r="A154" s="22"/>
      <x:c r="B154" s="18"/>
      <x:c r="C154" s="18"/>
      <x:c r="D154" s="18"/>
      <x:c r="E154" s="18"/>
      <x:c r="F154" s="18"/>
      <x:c r="G154" s="18"/>
      <x:c r="H154" s="18"/>
      <x:c r="I154" s="18"/>
      <x:c r="J154" s="18"/>
      <x:c r="K154" s="18"/>
      <x:c r="L154" s="23"/>
      <x:c r="M154" s="18"/>
      <x:c r="N154" s="19" t="n">
        <x:f>IFERROR(XLOOKUP(M154,'01_REGLAS_ACCIONES'!$A:$A,'01_REGLAS_ACCIONES'!$Q:$Q,0),0)</x:f>
        <x:v>0</x:v>
      </x:c>
      <x:c r="O154" s="18" t="str">
        <x:f>IFERROR(XLOOKUP(M154,'01_REGLAS_ACCIONES'!$A:$A,'01_REGLAS_ACCIONES'!$P:$P,"SIN_ACCION"),"SIN_ACCION")</x:f>
        <x:v>SIN_ACCION</x:v>
      </x:c>
      <x:c r="P154" s="23" t="n">
        <x:f>IF(O154="DESCUENTO",L154*N154,0)</x:f>
        <x:v>0</x:v>
      </x:c>
      <x:c r="Q154" s="19"/>
      <x:c r="R154" s="23" t="n">
        <x:f>L154*Q154</x:f>
        <x:v>0</x:v>
      </x:c>
      <x:c r="S154" s="23" t="n">
        <x:f>R154-P154</x:f>
        <x:v>0</x:v>
      </x:c>
      <x:c r="T154" s="18" t="str">
        <x:f>IF(M154="","SIN_ACCION",IF(ABS(S154)&lt;1,"OK",IF(S154&gt;0,"EXCESO_GASTO","MENOR_GASTO")))</x:f>
        <x:v>SIN_ACCION</x:v>
      </x:c>
      <x:c r="U154" s="18"/>
    </x:row>
    <x:row r="155" ht="15" hidden="0" customHeight="1">
      <x:c r="A155" s="22"/>
      <x:c r="B155" s="18"/>
      <x:c r="C155" s="18"/>
      <x:c r="D155" s="18"/>
      <x:c r="E155" s="18"/>
      <x:c r="F155" s="18"/>
      <x:c r="G155" s="18"/>
      <x:c r="H155" s="18"/>
      <x:c r="I155" s="18"/>
      <x:c r="J155" s="18"/>
      <x:c r="K155" s="18"/>
      <x:c r="L155" s="23"/>
      <x:c r="M155" s="18"/>
      <x:c r="N155" s="19" t="n">
        <x:f>IFERROR(XLOOKUP(M155,'01_REGLAS_ACCIONES'!$A:$A,'01_REGLAS_ACCIONES'!$Q:$Q,0),0)</x:f>
        <x:v>0</x:v>
      </x:c>
      <x:c r="O155" s="18" t="str">
        <x:f>IFERROR(XLOOKUP(M155,'01_REGLAS_ACCIONES'!$A:$A,'01_REGLAS_ACCIONES'!$P:$P,"SIN_ACCION"),"SIN_ACCION")</x:f>
        <x:v>SIN_ACCION</x:v>
      </x:c>
      <x:c r="P155" s="23" t="n">
        <x:f>IF(O155="DESCUENTO",L155*N155,0)</x:f>
        <x:v>0</x:v>
      </x:c>
      <x:c r="Q155" s="19"/>
      <x:c r="R155" s="23" t="n">
        <x:f>L155*Q155</x:f>
        <x:v>0</x:v>
      </x:c>
      <x:c r="S155" s="23" t="n">
        <x:f>R155-P155</x:f>
        <x:v>0</x:v>
      </x:c>
      <x:c r="T155" s="18" t="str">
        <x:f>IF(M155="","SIN_ACCION",IF(ABS(S155)&lt;1,"OK",IF(S155&gt;0,"EXCESO_GASTO","MENOR_GASTO")))</x:f>
        <x:v>SIN_ACCION</x:v>
      </x:c>
      <x:c r="U155" s="18"/>
    </x:row>
    <x:row r="156" ht="15" hidden="0" customHeight="1">
      <x:c r="A156" s="22"/>
      <x:c r="B156" s="18"/>
      <x:c r="C156" s="18"/>
      <x:c r="D156" s="18"/>
      <x:c r="E156" s="18"/>
      <x:c r="F156" s="18"/>
      <x:c r="G156" s="18"/>
      <x:c r="H156" s="18"/>
      <x:c r="I156" s="18"/>
      <x:c r="J156" s="18"/>
      <x:c r="K156" s="18"/>
      <x:c r="L156" s="23"/>
      <x:c r="M156" s="18"/>
      <x:c r="N156" s="19" t="n">
        <x:f>IFERROR(XLOOKUP(M156,'01_REGLAS_ACCIONES'!$A:$A,'01_REGLAS_ACCIONES'!$Q:$Q,0),0)</x:f>
        <x:v>0</x:v>
      </x:c>
      <x:c r="O156" s="18" t="str">
        <x:f>IFERROR(XLOOKUP(M156,'01_REGLAS_ACCIONES'!$A:$A,'01_REGLAS_ACCIONES'!$P:$P,"SIN_ACCION"),"SIN_ACCION")</x:f>
        <x:v>SIN_ACCION</x:v>
      </x:c>
      <x:c r="P156" s="23" t="n">
        <x:f>IF(O156="DESCUENTO",L156*N156,0)</x:f>
        <x:v>0</x:v>
      </x:c>
      <x:c r="Q156" s="19"/>
      <x:c r="R156" s="23" t="n">
        <x:f>L156*Q156</x:f>
        <x:v>0</x:v>
      </x:c>
      <x:c r="S156" s="23" t="n">
        <x:f>R156-P156</x:f>
        <x:v>0</x:v>
      </x:c>
      <x:c r="T156" s="18" t="str">
        <x:f>IF(M156="","SIN_ACCION",IF(ABS(S156)&lt;1,"OK",IF(S156&gt;0,"EXCESO_GASTO","MENOR_GASTO")))</x:f>
        <x:v>SIN_ACCION</x:v>
      </x:c>
      <x:c r="U156" s="18"/>
    </x:row>
    <x:row r="157" ht="15" hidden="0" customHeight="1">
      <x:c r="A157" s="22"/>
      <x:c r="B157" s="18"/>
      <x:c r="C157" s="18"/>
      <x:c r="D157" s="18"/>
      <x:c r="E157" s="18"/>
      <x:c r="F157" s="18"/>
      <x:c r="G157" s="18"/>
      <x:c r="H157" s="18"/>
      <x:c r="I157" s="18"/>
      <x:c r="J157" s="18"/>
      <x:c r="K157" s="18"/>
      <x:c r="L157" s="23"/>
      <x:c r="M157" s="18"/>
      <x:c r="N157" s="19" t="n">
        <x:f>IFERROR(XLOOKUP(M157,'01_REGLAS_ACCIONES'!$A:$A,'01_REGLAS_ACCIONES'!$Q:$Q,0),0)</x:f>
        <x:v>0</x:v>
      </x:c>
      <x:c r="O157" s="18" t="str">
        <x:f>IFERROR(XLOOKUP(M157,'01_REGLAS_ACCIONES'!$A:$A,'01_REGLAS_ACCIONES'!$P:$P,"SIN_ACCION"),"SIN_ACCION")</x:f>
        <x:v>SIN_ACCION</x:v>
      </x:c>
      <x:c r="P157" s="23" t="n">
        <x:f>IF(O157="DESCUENTO",L157*N157,0)</x:f>
        <x:v>0</x:v>
      </x:c>
      <x:c r="Q157" s="19"/>
      <x:c r="R157" s="23" t="n">
        <x:f>L157*Q157</x:f>
        <x:v>0</x:v>
      </x:c>
      <x:c r="S157" s="23" t="n">
        <x:f>R157-P157</x:f>
        <x:v>0</x:v>
      </x:c>
      <x:c r="T157" s="18" t="str">
        <x:f>IF(M157="","SIN_ACCION",IF(ABS(S157)&lt;1,"OK",IF(S157&gt;0,"EXCESO_GASTO","MENOR_GASTO")))</x:f>
        <x:v>SIN_ACCION</x:v>
      </x:c>
      <x:c r="U157" s="18"/>
    </x:row>
    <x:row r="158" ht="15" hidden="0" customHeight="1">
      <x:c r="A158" s="22"/>
      <x:c r="B158" s="18"/>
      <x:c r="C158" s="18"/>
      <x:c r="D158" s="18"/>
      <x:c r="E158" s="18"/>
      <x:c r="F158" s="18"/>
      <x:c r="G158" s="18"/>
      <x:c r="H158" s="18"/>
      <x:c r="I158" s="18"/>
      <x:c r="J158" s="18"/>
      <x:c r="K158" s="18"/>
      <x:c r="L158" s="23"/>
      <x:c r="M158" s="18"/>
      <x:c r="N158" s="19" t="n">
        <x:f>IFERROR(XLOOKUP(M158,'01_REGLAS_ACCIONES'!$A:$A,'01_REGLAS_ACCIONES'!$Q:$Q,0),0)</x:f>
        <x:v>0</x:v>
      </x:c>
      <x:c r="O158" s="18" t="str">
        <x:f>IFERROR(XLOOKUP(M158,'01_REGLAS_ACCIONES'!$A:$A,'01_REGLAS_ACCIONES'!$P:$P,"SIN_ACCION"),"SIN_ACCION")</x:f>
        <x:v>SIN_ACCION</x:v>
      </x:c>
      <x:c r="P158" s="23" t="n">
        <x:f>IF(O158="DESCUENTO",L158*N158,0)</x:f>
        <x:v>0</x:v>
      </x:c>
      <x:c r="Q158" s="19"/>
      <x:c r="R158" s="23" t="n">
        <x:f>L158*Q158</x:f>
        <x:v>0</x:v>
      </x:c>
      <x:c r="S158" s="23" t="n">
        <x:f>R158-P158</x:f>
        <x:v>0</x:v>
      </x:c>
      <x:c r="T158" s="18" t="str">
        <x:f>IF(M158="","SIN_ACCION",IF(ABS(S158)&lt;1,"OK",IF(S158&gt;0,"EXCESO_GASTO","MENOR_GASTO")))</x:f>
        <x:v>SIN_ACCION</x:v>
      </x:c>
      <x:c r="U158" s="18"/>
    </x:row>
    <x:row r="159" ht="15" hidden="0" customHeight="1">
      <x:c r="A159" s="22"/>
      <x:c r="B159" s="18"/>
      <x:c r="C159" s="18"/>
      <x:c r="D159" s="18"/>
      <x:c r="E159" s="18"/>
      <x:c r="F159" s="18"/>
      <x:c r="G159" s="18"/>
      <x:c r="H159" s="18"/>
      <x:c r="I159" s="18"/>
      <x:c r="J159" s="18"/>
      <x:c r="K159" s="18"/>
      <x:c r="L159" s="23"/>
      <x:c r="M159" s="18"/>
      <x:c r="N159" s="19" t="n">
        <x:f>IFERROR(XLOOKUP(M159,'01_REGLAS_ACCIONES'!$A:$A,'01_REGLAS_ACCIONES'!$Q:$Q,0),0)</x:f>
        <x:v>0</x:v>
      </x:c>
      <x:c r="O159" s="18" t="str">
        <x:f>IFERROR(XLOOKUP(M159,'01_REGLAS_ACCIONES'!$A:$A,'01_REGLAS_ACCIONES'!$P:$P,"SIN_ACCION"),"SIN_ACCION")</x:f>
        <x:v>SIN_ACCION</x:v>
      </x:c>
      <x:c r="P159" s="23" t="n">
        <x:f>IF(O159="DESCUENTO",L159*N159,0)</x:f>
        <x:v>0</x:v>
      </x:c>
      <x:c r="Q159" s="19"/>
      <x:c r="R159" s="23" t="n">
        <x:f>L159*Q159</x:f>
        <x:v>0</x:v>
      </x:c>
      <x:c r="S159" s="23" t="n">
        <x:f>R159-P159</x:f>
        <x:v>0</x:v>
      </x:c>
      <x:c r="T159" s="18" t="str">
        <x:f>IF(M159="","SIN_ACCION",IF(ABS(S159)&lt;1,"OK",IF(S159&gt;0,"EXCESO_GASTO","MENOR_GASTO")))</x:f>
        <x:v>SIN_ACCION</x:v>
      </x:c>
      <x:c r="U159" s="18"/>
    </x:row>
    <x:row r="160" ht="15" hidden="0" customHeight="1">
      <x:c r="A160" s="22"/>
      <x:c r="B160" s="18"/>
      <x:c r="C160" s="18"/>
      <x:c r="D160" s="18"/>
      <x:c r="E160" s="18"/>
      <x:c r="F160" s="18"/>
      <x:c r="G160" s="18"/>
      <x:c r="H160" s="18"/>
      <x:c r="I160" s="18"/>
      <x:c r="J160" s="18"/>
      <x:c r="K160" s="18"/>
      <x:c r="L160" s="23"/>
      <x:c r="M160" s="18"/>
      <x:c r="N160" s="19" t="n">
        <x:f>IFERROR(XLOOKUP(M160,'01_REGLAS_ACCIONES'!$A:$A,'01_REGLAS_ACCIONES'!$Q:$Q,0),0)</x:f>
        <x:v>0</x:v>
      </x:c>
      <x:c r="O160" s="18" t="str">
        <x:f>IFERROR(XLOOKUP(M160,'01_REGLAS_ACCIONES'!$A:$A,'01_REGLAS_ACCIONES'!$P:$P,"SIN_ACCION"),"SIN_ACCION")</x:f>
        <x:v>SIN_ACCION</x:v>
      </x:c>
      <x:c r="P160" s="23" t="n">
        <x:f>IF(O160="DESCUENTO",L160*N160,0)</x:f>
        <x:v>0</x:v>
      </x:c>
      <x:c r="Q160" s="19"/>
      <x:c r="R160" s="23" t="n">
        <x:f>L160*Q160</x:f>
        <x:v>0</x:v>
      </x:c>
      <x:c r="S160" s="23" t="n">
        <x:f>R160-P160</x:f>
        <x:v>0</x:v>
      </x:c>
      <x:c r="T160" s="18" t="str">
        <x:f>IF(M160="","SIN_ACCION",IF(ABS(S160)&lt;1,"OK",IF(S160&gt;0,"EXCESO_GASTO","MENOR_GASTO")))</x:f>
        <x:v>SIN_ACCION</x:v>
      </x:c>
      <x:c r="U160" s="18"/>
    </x:row>
    <x:row r="161" ht="15" hidden="0" customHeight="1">
      <x:c r="A161" s="22"/>
      <x:c r="B161" s="18"/>
      <x:c r="C161" s="18"/>
      <x:c r="D161" s="18"/>
      <x:c r="E161" s="18"/>
      <x:c r="F161" s="18"/>
      <x:c r="G161" s="18"/>
      <x:c r="H161" s="18"/>
      <x:c r="I161" s="18"/>
      <x:c r="J161" s="18"/>
      <x:c r="K161" s="18"/>
      <x:c r="L161" s="23"/>
      <x:c r="M161" s="18"/>
      <x:c r="N161" s="19" t="n">
        <x:f>IFERROR(XLOOKUP(M161,'01_REGLAS_ACCIONES'!$A:$A,'01_REGLAS_ACCIONES'!$Q:$Q,0),0)</x:f>
        <x:v>0</x:v>
      </x:c>
      <x:c r="O161" s="18" t="str">
        <x:f>IFERROR(XLOOKUP(M161,'01_REGLAS_ACCIONES'!$A:$A,'01_REGLAS_ACCIONES'!$P:$P,"SIN_ACCION"),"SIN_ACCION")</x:f>
        <x:v>SIN_ACCION</x:v>
      </x:c>
      <x:c r="P161" s="23" t="n">
        <x:f>IF(O161="DESCUENTO",L161*N161,0)</x:f>
        <x:v>0</x:v>
      </x:c>
      <x:c r="Q161" s="19"/>
      <x:c r="R161" s="23" t="n">
        <x:f>L161*Q161</x:f>
        <x:v>0</x:v>
      </x:c>
      <x:c r="S161" s="23" t="n">
        <x:f>R161-P161</x:f>
        <x:v>0</x:v>
      </x:c>
      <x:c r="T161" s="18" t="str">
        <x:f>IF(M161="","SIN_ACCION",IF(ABS(S161)&lt;1,"OK",IF(S161&gt;0,"EXCESO_GASTO","MENOR_GASTO")))</x:f>
        <x:v>SIN_ACCION</x:v>
      </x:c>
      <x:c r="U161" s="18"/>
    </x:row>
    <x:row r="162" ht="15" hidden="0" customHeight="1">
      <x:c r="A162" s="22"/>
      <x:c r="B162" s="18"/>
      <x:c r="C162" s="18"/>
      <x:c r="D162" s="18"/>
      <x:c r="E162" s="18"/>
      <x:c r="F162" s="18"/>
      <x:c r="G162" s="18"/>
      <x:c r="H162" s="18"/>
      <x:c r="I162" s="18"/>
      <x:c r="J162" s="18"/>
      <x:c r="K162" s="18"/>
      <x:c r="L162" s="23"/>
      <x:c r="M162" s="18"/>
      <x:c r="N162" s="19" t="n">
        <x:f>IFERROR(XLOOKUP(M162,'01_REGLAS_ACCIONES'!$A:$A,'01_REGLAS_ACCIONES'!$Q:$Q,0),0)</x:f>
        <x:v>0</x:v>
      </x:c>
      <x:c r="O162" s="18" t="str">
        <x:f>IFERROR(XLOOKUP(M162,'01_REGLAS_ACCIONES'!$A:$A,'01_REGLAS_ACCIONES'!$P:$P,"SIN_ACCION"),"SIN_ACCION")</x:f>
        <x:v>SIN_ACCION</x:v>
      </x:c>
      <x:c r="P162" s="23" t="n">
        <x:f>IF(O162="DESCUENTO",L162*N162,0)</x:f>
        <x:v>0</x:v>
      </x:c>
      <x:c r="Q162" s="19"/>
      <x:c r="R162" s="23" t="n">
        <x:f>L162*Q162</x:f>
        <x:v>0</x:v>
      </x:c>
      <x:c r="S162" s="23" t="n">
        <x:f>R162-P162</x:f>
        <x:v>0</x:v>
      </x:c>
      <x:c r="T162" s="18" t="str">
        <x:f>IF(M162="","SIN_ACCION",IF(ABS(S162)&lt;1,"OK",IF(S162&gt;0,"EXCESO_GASTO","MENOR_GASTO")))</x:f>
        <x:v>SIN_ACCION</x:v>
      </x:c>
      <x:c r="U162" s="18"/>
    </x:row>
    <x:row r="163" ht="15" hidden="0" customHeight="1">
      <x:c r="A163" s="22"/>
      <x:c r="B163" s="18"/>
      <x:c r="C163" s="18"/>
      <x:c r="D163" s="18"/>
      <x:c r="E163" s="18"/>
      <x:c r="F163" s="18"/>
      <x:c r="G163" s="18"/>
      <x:c r="H163" s="18"/>
      <x:c r="I163" s="18"/>
      <x:c r="J163" s="18"/>
      <x:c r="K163" s="18"/>
      <x:c r="L163" s="23"/>
      <x:c r="M163" s="18"/>
      <x:c r="N163" s="19" t="n">
        <x:f>IFERROR(XLOOKUP(M163,'01_REGLAS_ACCIONES'!$A:$A,'01_REGLAS_ACCIONES'!$Q:$Q,0),0)</x:f>
        <x:v>0</x:v>
      </x:c>
      <x:c r="O163" s="18" t="str">
        <x:f>IFERROR(XLOOKUP(M163,'01_REGLAS_ACCIONES'!$A:$A,'01_REGLAS_ACCIONES'!$P:$P,"SIN_ACCION"),"SIN_ACCION")</x:f>
        <x:v>SIN_ACCION</x:v>
      </x:c>
      <x:c r="P163" s="23" t="n">
        <x:f>IF(O163="DESCUENTO",L163*N163,0)</x:f>
        <x:v>0</x:v>
      </x:c>
      <x:c r="Q163" s="19"/>
      <x:c r="R163" s="23" t="n">
        <x:f>L163*Q163</x:f>
        <x:v>0</x:v>
      </x:c>
      <x:c r="S163" s="23" t="n">
        <x:f>R163-P163</x:f>
        <x:v>0</x:v>
      </x:c>
      <x:c r="T163" s="18" t="str">
        <x:f>IF(M163="","SIN_ACCION",IF(ABS(S163)&lt;1,"OK",IF(S163&gt;0,"EXCESO_GASTO","MENOR_GASTO")))</x:f>
        <x:v>SIN_ACCION</x:v>
      </x:c>
      <x:c r="U163" s="18"/>
    </x:row>
    <x:row r="164" ht="15" hidden="0" customHeight="1">
      <x:c r="A164" s="22"/>
      <x:c r="B164" s="18"/>
      <x:c r="C164" s="18"/>
      <x:c r="D164" s="18"/>
      <x:c r="E164" s="18"/>
      <x:c r="F164" s="18"/>
      <x:c r="G164" s="18"/>
      <x:c r="H164" s="18"/>
      <x:c r="I164" s="18"/>
      <x:c r="J164" s="18"/>
      <x:c r="K164" s="18"/>
      <x:c r="L164" s="23"/>
      <x:c r="M164" s="18"/>
      <x:c r="N164" s="19" t="n">
        <x:f>IFERROR(XLOOKUP(M164,'01_REGLAS_ACCIONES'!$A:$A,'01_REGLAS_ACCIONES'!$Q:$Q,0),0)</x:f>
        <x:v>0</x:v>
      </x:c>
      <x:c r="O164" s="18" t="str">
        <x:f>IFERROR(XLOOKUP(M164,'01_REGLAS_ACCIONES'!$A:$A,'01_REGLAS_ACCIONES'!$P:$P,"SIN_ACCION"),"SIN_ACCION")</x:f>
        <x:v>SIN_ACCION</x:v>
      </x:c>
      <x:c r="P164" s="23" t="n">
        <x:f>IF(O164="DESCUENTO",L164*N164,0)</x:f>
        <x:v>0</x:v>
      </x:c>
      <x:c r="Q164" s="19"/>
      <x:c r="R164" s="23" t="n">
        <x:f>L164*Q164</x:f>
        <x:v>0</x:v>
      </x:c>
      <x:c r="S164" s="23" t="n">
        <x:f>R164-P164</x:f>
        <x:v>0</x:v>
      </x:c>
      <x:c r="T164" s="18" t="str">
        <x:f>IF(M164="","SIN_ACCION",IF(ABS(S164)&lt;1,"OK",IF(S164&gt;0,"EXCESO_GASTO","MENOR_GASTO")))</x:f>
        <x:v>SIN_ACCION</x:v>
      </x:c>
      <x:c r="U164" s="18"/>
    </x:row>
    <x:row r="165" ht="15" hidden="0" customHeight="1">
      <x:c r="A165" s="22"/>
      <x:c r="B165" s="18"/>
      <x:c r="C165" s="18"/>
      <x:c r="D165" s="18"/>
      <x:c r="E165" s="18"/>
      <x:c r="F165" s="18"/>
      <x:c r="G165" s="18"/>
      <x:c r="H165" s="18"/>
      <x:c r="I165" s="18"/>
      <x:c r="J165" s="18"/>
      <x:c r="K165" s="18"/>
      <x:c r="L165" s="23"/>
      <x:c r="M165" s="18"/>
      <x:c r="N165" s="19" t="n">
        <x:f>IFERROR(XLOOKUP(M165,'01_REGLAS_ACCIONES'!$A:$A,'01_REGLAS_ACCIONES'!$Q:$Q,0),0)</x:f>
        <x:v>0</x:v>
      </x:c>
      <x:c r="O165" s="18" t="str">
        <x:f>IFERROR(XLOOKUP(M165,'01_REGLAS_ACCIONES'!$A:$A,'01_REGLAS_ACCIONES'!$P:$P,"SIN_ACCION"),"SIN_ACCION")</x:f>
        <x:v>SIN_ACCION</x:v>
      </x:c>
      <x:c r="P165" s="23" t="n">
        <x:f>IF(O165="DESCUENTO",L165*N165,0)</x:f>
        <x:v>0</x:v>
      </x:c>
      <x:c r="Q165" s="19"/>
      <x:c r="R165" s="23" t="n">
        <x:f>L165*Q165</x:f>
        <x:v>0</x:v>
      </x:c>
      <x:c r="S165" s="23" t="n">
        <x:f>R165-P165</x:f>
        <x:v>0</x:v>
      </x:c>
      <x:c r="T165" s="18" t="str">
        <x:f>IF(M165="","SIN_ACCION",IF(ABS(S165)&lt;1,"OK",IF(S165&gt;0,"EXCESO_GASTO","MENOR_GASTO")))</x:f>
        <x:v>SIN_ACCION</x:v>
      </x:c>
      <x:c r="U165" s="18"/>
    </x:row>
    <x:row r="166" ht="15" hidden="0" customHeight="1">
      <x:c r="A166" s="22"/>
      <x:c r="B166" s="18"/>
      <x:c r="C166" s="18"/>
      <x:c r="D166" s="18"/>
      <x:c r="E166" s="18"/>
      <x:c r="F166" s="18"/>
      <x:c r="G166" s="18"/>
      <x:c r="H166" s="18"/>
      <x:c r="I166" s="18"/>
      <x:c r="J166" s="18"/>
      <x:c r="K166" s="18"/>
      <x:c r="L166" s="23"/>
      <x:c r="M166" s="18"/>
      <x:c r="N166" s="19" t="n">
        <x:f>IFERROR(XLOOKUP(M166,'01_REGLAS_ACCIONES'!$A:$A,'01_REGLAS_ACCIONES'!$Q:$Q,0),0)</x:f>
        <x:v>0</x:v>
      </x:c>
      <x:c r="O166" s="18" t="str">
        <x:f>IFERROR(XLOOKUP(M166,'01_REGLAS_ACCIONES'!$A:$A,'01_REGLAS_ACCIONES'!$P:$P,"SIN_ACCION"),"SIN_ACCION")</x:f>
        <x:v>SIN_ACCION</x:v>
      </x:c>
      <x:c r="P166" s="23" t="n">
        <x:f>IF(O166="DESCUENTO",L166*N166,0)</x:f>
        <x:v>0</x:v>
      </x:c>
      <x:c r="Q166" s="19"/>
      <x:c r="R166" s="23" t="n">
        <x:f>L166*Q166</x:f>
        <x:v>0</x:v>
      </x:c>
      <x:c r="S166" s="23" t="n">
        <x:f>R166-P166</x:f>
        <x:v>0</x:v>
      </x:c>
      <x:c r="T166" s="18" t="str">
        <x:f>IF(M166="","SIN_ACCION",IF(ABS(S166)&lt;1,"OK",IF(S166&gt;0,"EXCESO_GASTO","MENOR_GASTO")))</x:f>
        <x:v>SIN_ACCION</x:v>
      </x:c>
      <x:c r="U166" s="18"/>
    </x:row>
    <x:row r="167" ht="15" hidden="0" customHeight="1">
      <x:c r="A167" s="22"/>
      <x:c r="B167" s="18"/>
      <x:c r="C167" s="18"/>
      <x:c r="D167" s="18"/>
      <x:c r="E167" s="18"/>
      <x:c r="F167" s="18"/>
      <x:c r="G167" s="18"/>
      <x:c r="H167" s="18"/>
      <x:c r="I167" s="18"/>
      <x:c r="J167" s="18"/>
      <x:c r="K167" s="18"/>
      <x:c r="L167" s="23"/>
      <x:c r="M167" s="18"/>
      <x:c r="N167" s="19" t="n">
        <x:f>IFERROR(XLOOKUP(M167,'01_REGLAS_ACCIONES'!$A:$A,'01_REGLAS_ACCIONES'!$Q:$Q,0),0)</x:f>
        <x:v>0</x:v>
      </x:c>
      <x:c r="O167" s="18" t="str">
        <x:f>IFERROR(XLOOKUP(M167,'01_REGLAS_ACCIONES'!$A:$A,'01_REGLAS_ACCIONES'!$P:$P,"SIN_ACCION"),"SIN_ACCION")</x:f>
        <x:v>SIN_ACCION</x:v>
      </x:c>
      <x:c r="P167" s="23" t="n">
        <x:f>IF(O167="DESCUENTO",L167*N167,0)</x:f>
        <x:v>0</x:v>
      </x:c>
      <x:c r="Q167" s="19"/>
      <x:c r="R167" s="23" t="n">
        <x:f>L167*Q167</x:f>
        <x:v>0</x:v>
      </x:c>
      <x:c r="S167" s="23" t="n">
        <x:f>R167-P167</x:f>
        <x:v>0</x:v>
      </x:c>
      <x:c r="T167" s="18" t="str">
        <x:f>IF(M167="","SIN_ACCION",IF(ABS(S167)&lt;1,"OK",IF(S167&gt;0,"EXCESO_GASTO","MENOR_GASTO")))</x:f>
        <x:v>SIN_ACCION</x:v>
      </x:c>
      <x:c r="U167" s="18"/>
    </x:row>
    <x:row r="168" ht="15" hidden="0" customHeight="1">
      <x:c r="A168" s="22"/>
      <x:c r="B168" s="18"/>
      <x:c r="C168" s="18"/>
      <x:c r="D168" s="18"/>
      <x:c r="E168" s="18"/>
      <x:c r="F168" s="18"/>
      <x:c r="G168" s="18"/>
      <x:c r="H168" s="18"/>
      <x:c r="I168" s="18"/>
      <x:c r="J168" s="18"/>
      <x:c r="K168" s="18"/>
      <x:c r="L168" s="23"/>
      <x:c r="M168" s="18"/>
      <x:c r="N168" s="19" t="n">
        <x:f>IFERROR(XLOOKUP(M168,'01_REGLAS_ACCIONES'!$A:$A,'01_REGLAS_ACCIONES'!$Q:$Q,0),0)</x:f>
        <x:v>0</x:v>
      </x:c>
      <x:c r="O168" s="18" t="str">
        <x:f>IFERROR(XLOOKUP(M168,'01_REGLAS_ACCIONES'!$A:$A,'01_REGLAS_ACCIONES'!$P:$P,"SIN_ACCION"),"SIN_ACCION")</x:f>
        <x:v>SIN_ACCION</x:v>
      </x:c>
      <x:c r="P168" s="23" t="n">
        <x:f>IF(O168="DESCUENTO",L168*N168,0)</x:f>
        <x:v>0</x:v>
      </x:c>
      <x:c r="Q168" s="19"/>
      <x:c r="R168" s="23" t="n">
        <x:f>L168*Q168</x:f>
        <x:v>0</x:v>
      </x:c>
      <x:c r="S168" s="23" t="n">
        <x:f>R168-P168</x:f>
        <x:v>0</x:v>
      </x:c>
      <x:c r="T168" s="18" t="str">
        <x:f>IF(M168="","SIN_ACCION",IF(ABS(S168)&lt;1,"OK",IF(S168&gt;0,"EXCESO_GASTO","MENOR_GASTO")))</x:f>
        <x:v>SIN_ACCION</x:v>
      </x:c>
      <x:c r="U168" s="18"/>
    </x:row>
    <x:row r="169" ht="15" hidden="0" customHeight="1">
      <x:c r="A169" s="22"/>
      <x:c r="B169" s="18"/>
      <x:c r="C169" s="18"/>
      <x:c r="D169" s="18"/>
      <x:c r="E169" s="18"/>
      <x:c r="F169" s="18"/>
      <x:c r="G169" s="18"/>
      <x:c r="H169" s="18"/>
      <x:c r="I169" s="18"/>
      <x:c r="J169" s="18"/>
      <x:c r="K169" s="18"/>
      <x:c r="L169" s="23"/>
      <x:c r="M169" s="18"/>
      <x:c r="N169" s="19" t="n">
        <x:f>IFERROR(XLOOKUP(M169,'01_REGLAS_ACCIONES'!$A:$A,'01_REGLAS_ACCIONES'!$Q:$Q,0),0)</x:f>
        <x:v>0</x:v>
      </x:c>
      <x:c r="O169" s="18" t="str">
        <x:f>IFERROR(XLOOKUP(M169,'01_REGLAS_ACCIONES'!$A:$A,'01_REGLAS_ACCIONES'!$P:$P,"SIN_ACCION"),"SIN_ACCION")</x:f>
        <x:v>SIN_ACCION</x:v>
      </x:c>
      <x:c r="P169" s="23" t="n">
        <x:f>IF(O169="DESCUENTO",L169*N169,0)</x:f>
        <x:v>0</x:v>
      </x:c>
      <x:c r="Q169" s="19"/>
      <x:c r="R169" s="23" t="n">
        <x:f>L169*Q169</x:f>
        <x:v>0</x:v>
      </x:c>
      <x:c r="S169" s="23" t="n">
        <x:f>R169-P169</x:f>
        <x:v>0</x:v>
      </x:c>
      <x:c r="T169" s="18" t="str">
        <x:f>IF(M169="","SIN_ACCION",IF(ABS(S169)&lt;1,"OK",IF(S169&gt;0,"EXCESO_GASTO","MENOR_GASTO")))</x:f>
        <x:v>SIN_ACCION</x:v>
      </x:c>
      <x:c r="U169" s="18"/>
    </x:row>
    <x:row r="170" ht="15" hidden="0" customHeight="1">
      <x:c r="A170" s="22"/>
      <x:c r="B170" s="18"/>
      <x:c r="C170" s="18"/>
      <x:c r="D170" s="18"/>
      <x:c r="E170" s="18"/>
      <x:c r="F170" s="18"/>
      <x:c r="G170" s="18"/>
      <x:c r="H170" s="18"/>
      <x:c r="I170" s="18"/>
      <x:c r="J170" s="18"/>
      <x:c r="K170" s="18"/>
      <x:c r="L170" s="23"/>
      <x:c r="M170" s="18"/>
      <x:c r="N170" s="19" t="n">
        <x:f>IFERROR(XLOOKUP(M170,'01_REGLAS_ACCIONES'!$A:$A,'01_REGLAS_ACCIONES'!$Q:$Q,0),0)</x:f>
        <x:v>0</x:v>
      </x:c>
      <x:c r="O170" s="18" t="str">
        <x:f>IFERROR(XLOOKUP(M170,'01_REGLAS_ACCIONES'!$A:$A,'01_REGLAS_ACCIONES'!$P:$P,"SIN_ACCION"),"SIN_ACCION")</x:f>
        <x:v>SIN_ACCION</x:v>
      </x:c>
      <x:c r="P170" s="23" t="n">
        <x:f>IF(O170="DESCUENTO",L170*N170,0)</x:f>
        <x:v>0</x:v>
      </x:c>
      <x:c r="Q170" s="19"/>
      <x:c r="R170" s="23" t="n">
        <x:f>L170*Q170</x:f>
        <x:v>0</x:v>
      </x:c>
      <x:c r="S170" s="23" t="n">
        <x:f>R170-P170</x:f>
        <x:v>0</x:v>
      </x:c>
      <x:c r="T170" s="18" t="str">
        <x:f>IF(M170="","SIN_ACCION",IF(ABS(S170)&lt;1,"OK",IF(S170&gt;0,"EXCESO_GASTO","MENOR_GASTO")))</x:f>
        <x:v>SIN_ACCION</x:v>
      </x:c>
      <x:c r="U170" s="18"/>
    </x:row>
    <x:row r="171" ht="15" hidden="0" customHeight="1">
      <x:c r="A171" s="22"/>
      <x:c r="B171" s="18"/>
      <x:c r="C171" s="18"/>
      <x:c r="D171" s="18"/>
      <x:c r="E171" s="18"/>
      <x:c r="F171" s="18"/>
      <x:c r="G171" s="18"/>
      <x:c r="H171" s="18"/>
      <x:c r="I171" s="18"/>
      <x:c r="J171" s="18"/>
      <x:c r="K171" s="18"/>
      <x:c r="L171" s="23"/>
      <x:c r="M171" s="18"/>
      <x:c r="N171" s="19" t="n">
        <x:f>IFERROR(XLOOKUP(M171,'01_REGLAS_ACCIONES'!$A:$A,'01_REGLAS_ACCIONES'!$Q:$Q,0),0)</x:f>
        <x:v>0</x:v>
      </x:c>
      <x:c r="O171" s="18" t="str">
        <x:f>IFERROR(XLOOKUP(M171,'01_REGLAS_ACCIONES'!$A:$A,'01_REGLAS_ACCIONES'!$P:$P,"SIN_ACCION"),"SIN_ACCION")</x:f>
        <x:v>SIN_ACCION</x:v>
      </x:c>
      <x:c r="P171" s="23" t="n">
        <x:f>IF(O171="DESCUENTO",L171*N171,0)</x:f>
        <x:v>0</x:v>
      </x:c>
      <x:c r="Q171" s="19"/>
      <x:c r="R171" s="23" t="n">
        <x:f>L171*Q171</x:f>
        <x:v>0</x:v>
      </x:c>
      <x:c r="S171" s="23" t="n">
        <x:f>R171-P171</x:f>
        <x:v>0</x:v>
      </x:c>
      <x:c r="T171" s="18" t="str">
        <x:f>IF(M171="","SIN_ACCION",IF(ABS(S171)&lt;1,"OK",IF(S171&gt;0,"EXCESO_GASTO","MENOR_GASTO")))</x:f>
        <x:v>SIN_ACCION</x:v>
      </x:c>
      <x:c r="U171" s="18"/>
    </x:row>
    <x:row r="172" ht="15" hidden="0" customHeight="1">
      <x:c r="A172" s="22"/>
      <x:c r="B172" s="18"/>
      <x:c r="C172" s="18"/>
      <x:c r="D172" s="18"/>
      <x:c r="E172" s="18"/>
      <x:c r="F172" s="18"/>
      <x:c r="G172" s="18"/>
      <x:c r="H172" s="18"/>
      <x:c r="I172" s="18"/>
      <x:c r="J172" s="18"/>
      <x:c r="K172" s="18"/>
      <x:c r="L172" s="23"/>
      <x:c r="M172" s="18"/>
      <x:c r="N172" s="19" t="n">
        <x:f>IFERROR(XLOOKUP(M172,'01_REGLAS_ACCIONES'!$A:$A,'01_REGLAS_ACCIONES'!$Q:$Q,0),0)</x:f>
        <x:v>0</x:v>
      </x:c>
      <x:c r="O172" s="18" t="str">
        <x:f>IFERROR(XLOOKUP(M172,'01_REGLAS_ACCIONES'!$A:$A,'01_REGLAS_ACCIONES'!$P:$P,"SIN_ACCION"),"SIN_ACCION")</x:f>
        <x:v>SIN_ACCION</x:v>
      </x:c>
      <x:c r="P172" s="23" t="n">
        <x:f>IF(O172="DESCUENTO",L172*N172,0)</x:f>
        <x:v>0</x:v>
      </x:c>
      <x:c r="Q172" s="19"/>
      <x:c r="R172" s="23" t="n">
        <x:f>L172*Q172</x:f>
        <x:v>0</x:v>
      </x:c>
      <x:c r="S172" s="23" t="n">
        <x:f>R172-P172</x:f>
        <x:v>0</x:v>
      </x:c>
      <x:c r="T172" s="18" t="str">
        <x:f>IF(M172="","SIN_ACCION",IF(ABS(S172)&lt;1,"OK",IF(S172&gt;0,"EXCESO_GASTO","MENOR_GASTO")))</x:f>
        <x:v>SIN_ACCION</x:v>
      </x:c>
      <x:c r="U172" s="18"/>
    </x:row>
    <x:row r="173" ht="15" hidden="0" customHeight="1">
      <x:c r="A173" s="22"/>
      <x:c r="B173" s="18"/>
      <x:c r="C173" s="18"/>
      <x:c r="D173" s="18"/>
      <x:c r="E173" s="18"/>
      <x:c r="F173" s="18"/>
      <x:c r="G173" s="18"/>
      <x:c r="H173" s="18"/>
      <x:c r="I173" s="18"/>
      <x:c r="J173" s="18"/>
      <x:c r="K173" s="18"/>
      <x:c r="L173" s="23"/>
      <x:c r="M173" s="18"/>
      <x:c r="N173" s="19" t="n">
        <x:f>IFERROR(XLOOKUP(M173,'01_REGLAS_ACCIONES'!$A:$A,'01_REGLAS_ACCIONES'!$Q:$Q,0),0)</x:f>
        <x:v>0</x:v>
      </x:c>
      <x:c r="O173" s="18" t="str">
        <x:f>IFERROR(XLOOKUP(M173,'01_REGLAS_ACCIONES'!$A:$A,'01_REGLAS_ACCIONES'!$P:$P,"SIN_ACCION"),"SIN_ACCION")</x:f>
        <x:v>SIN_ACCION</x:v>
      </x:c>
      <x:c r="P173" s="23" t="n">
        <x:f>IF(O173="DESCUENTO",L173*N173,0)</x:f>
        <x:v>0</x:v>
      </x:c>
      <x:c r="Q173" s="19"/>
      <x:c r="R173" s="23" t="n">
        <x:f>L173*Q173</x:f>
        <x:v>0</x:v>
      </x:c>
      <x:c r="S173" s="23" t="n">
        <x:f>R173-P173</x:f>
        <x:v>0</x:v>
      </x:c>
      <x:c r="T173" s="18" t="str">
        <x:f>IF(M173="","SIN_ACCION",IF(ABS(S173)&lt;1,"OK",IF(S173&gt;0,"EXCESO_GASTO","MENOR_GASTO")))</x:f>
        <x:v>SIN_ACCION</x:v>
      </x:c>
      <x:c r="U173" s="18"/>
    </x:row>
    <x:row r="174" ht="15" hidden="0" customHeight="1">
      <x:c r="A174" s="22"/>
      <x:c r="B174" s="18"/>
      <x:c r="C174" s="18"/>
      <x:c r="D174" s="18"/>
      <x:c r="E174" s="18"/>
      <x:c r="F174" s="18"/>
      <x:c r="G174" s="18"/>
      <x:c r="H174" s="18"/>
      <x:c r="I174" s="18"/>
      <x:c r="J174" s="18"/>
      <x:c r="K174" s="18"/>
      <x:c r="L174" s="23"/>
      <x:c r="M174" s="18"/>
      <x:c r="N174" s="19" t="n">
        <x:f>IFERROR(XLOOKUP(M174,'01_REGLAS_ACCIONES'!$A:$A,'01_REGLAS_ACCIONES'!$Q:$Q,0),0)</x:f>
        <x:v>0</x:v>
      </x:c>
      <x:c r="O174" s="18" t="str">
        <x:f>IFERROR(XLOOKUP(M174,'01_REGLAS_ACCIONES'!$A:$A,'01_REGLAS_ACCIONES'!$P:$P,"SIN_ACCION"),"SIN_ACCION")</x:f>
        <x:v>SIN_ACCION</x:v>
      </x:c>
      <x:c r="P174" s="23" t="n">
        <x:f>IF(O174="DESCUENTO",L174*N174,0)</x:f>
        <x:v>0</x:v>
      </x:c>
      <x:c r="Q174" s="19"/>
      <x:c r="R174" s="23" t="n">
        <x:f>L174*Q174</x:f>
        <x:v>0</x:v>
      </x:c>
      <x:c r="S174" s="23" t="n">
        <x:f>R174-P174</x:f>
        <x:v>0</x:v>
      </x:c>
      <x:c r="T174" s="18" t="str">
        <x:f>IF(M174="","SIN_ACCION",IF(ABS(S174)&lt;1,"OK",IF(S174&gt;0,"EXCESO_GASTO","MENOR_GASTO")))</x:f>
        <x:v>SIN_ACCION</x:v>
      </x:c>
      <x:c r="U174" s="18"/>
    </x:row>
    <x:row r="175" ht="15" hidden="0" customHeight="1">
      <x:c r="A175" s="22"/>
      <x:c r="B175" s="18"/>
      <x:c r="C175" s="18"/>
      <x:c r="D175" s="18"/>
      <x:c r="E175" s="18"/>
      <x:c r="F175" s="18"/>
      <x:c r="G175" s="18"/>
      <x:c r="H175" s="18"/>
      <x:c r="I175" s="18"/>
      <x:c r="J175" s="18"/>
      <x:c r="K175" s="18"/>
      <x:c r="L175" s="23"/>
      <x:c r="M175" s="18"/>
      <x:c r="N175" s="19" t="n">
        <x:f>IFERROR(XLOOKUP(M175,'01_REGLAS_ACCIONES'!$A:$A,'01_REGLAS_ACCIONES'!$Q:$Q,0),0)</x:f>
        <x:v>0</x:v>
      </x:c>
      <x:c r="O175" s="18" t="str">
        <x:f>IFERROR(XLOOKUP(M175,'01_REGLAS_ACCIONES'!$A:$A,'01_REGLAS_ACCIONES'!$P:$P,"SIN_ACCION"),"SIN_ACCION")</x:f>
        <x:v>SIN_ACCION</x:v>
      </x:c>
      <x:c r="P175" s="23" t="n">
        <x:f>IF(O175="DESCUENTO",L175*N175,0)</x:f>
        <x:v>0</x:v>
      </x:c>
      <x:c r="Q175" s="19"/>
      <x:c r="R175" s="23" t="n">
        <x:f>L175*Q175</x:f>
        <x:v>0</x:v>
      </x:c>
      <x:c r="S175" s="23" t="n">
        <x:f>R175-P175</x:f>
        <x:v>0</x:v>
      </x:c>
      <x:c r="T175" s="18" t="str">
        <x:f>IF(M175="","SIN_ACCION",IF(ABS(S175)&lt;1,"OK",IF(S175&gt;0,"EXCESO_GASTO","MENOR_GASTO")))</x:f>
        <x:v>SIN_ACCION</x:v>
      </x:c>
      <x:c r="U175" s="18"/>
    </x:row>
    <x:row r="176" ht="15" hidden="0" customHeight="1">
      <x:c r="A176" s="22"/>
      <x:c r="B176" s="18"/>
      <x:c r="C176" s="18"/>
      <x:c r="D176" s="18"/>
      <x:c r="E176" s="18"/>
      <x:c r="F176" s="18"/>
      <x:c r="G176" s="18"/>
      <x:c r="H176" s="18"/>
      <x:c r="I176" s="18"/>
      <x:c r="J176" s="18"/>
      <x:c r="K176" s="18"/>
      <x:c r="L176" s="23"/>
      <x:c r="M176" s="18"/>
      <x:c r="N176" s="19" t="n">
        <x:f>IFERROR(XLOOKUP(M176,'01_REGLAS_ACCIONES'!$A:$A,'01_REGLAS_ACCIONES'!$Q:$Q,0),0)</x:f>
        <x:v>0</x:v>
      </x:c>
      <x:c r="O176" s="18" t="str">
        <x:f>IFERROR(XLOOKUP(M176,'01_REGLAS_ACCIONES'!$A:$A,'01_REGLAS_ACCIONES'!$P:$P,"SIN_ACCION"),"SIN_ACCION")</x:f>
        <x:v>SIN_ACCION</x:v>
      </x:c>
      <x:c r="P176" s="23" t="n">
        <x:f>IF(O176="DESCUENTO",L176*N176,0)</x:f>
        <x:v>0</x:v>
      </x:c>
      <x:c r="Q176" s="19"/>
      <x:c r="R176" s="23" t="n">
        <x:f>L176*Q176</x:f>
        <x:v>0</x:v>
      </x:c>
      <x:c r="S176" s="23" t="n">
        <x:f>R176-P176</x:f>
        <x:v>0</x:v>
      </x:c>
      <x:c r="T176" s="18" t="str">
        <x:f>IF(M176="","SIN_ACCION",IF(ABS(S176)&lt;1,"OK",IF(S176&gt;0,"EXCESO_GASTO","MENOR_GASTO")))</x:f>
        <x:v>SIN_ACCION</x:v>
      </x:c>
      <x:c r="U176" s="18"/>
    </x:row>
    <x:row r="177" ht="15" hidden="0" customHeight="1">
      <x:c r="A177" s="22"/>
      <x:c r="B177" s="18"/>
      <x:c r="C177" s="18"/>
      <x:c r="D177" s="18"/>
      <x:c r="E177" s="18"/>
      <x:c r="F177" s="18"/>
      <x:c r="G177" s="18"/>
      <x:c r="H177" s="18"/>
      <x:c r="I177" s="18"/>
      <x:c r="J177" s="18"/>
      <x:c r="K177" s="18"/>
      <x:c r="L177" s="23"/>
      <x:c r="M177" s="18"/>
      <x:c r="N177" s="19" t="n">
        <x:f>IFERROR(XLOOKUP(M177,'01_REGLAS_ACCIONES'!$A:$A,'01_REGLAS_ACCIONES'!$Q:$Q,0),0)</x:f>
        <x:v>0</x:v>
      </x:c>
      <x:c r="O177" s="18" t="str">
        <x:f>IFERROR(XLOOKUP(M177,'01_REGLAS_ACCIONES'!$A:$A,'01_REGLAS_ACCIONES'!$P:$P,"SIN_ACCION"),"SIN_ACCION")</x:f>
        <x:v>SIN_ACCION</x:v>
      </x:c>
      <x:c r="P177" s="23" t="n">
        <x:f>IF(O177="DESCUENTO",L177*N177,0)</x:f>
        <x:v>0</x:v>
      </x:c>
      <x:c r="Q177" s="19"/>
      <x:c r="R177" s="23" t="n">
        <x:f>L177*Q177</x:f>
        <x:v>0</x:v>
      </x:c>
      <x:c r="S177" s="23" t="n">
        <x:f>R177-P177</x:f>
        <x:v>0</x:v>
      </x:c>
      <x:c r="T177" s="18" t="str">
        <x:f>IF(M177="","SIN_ACCION",IF(ABS(S177)&lt;1,"OK",IF(S177&gt;0,"EXCESO_GASTO","MENOR_GASTO")))</x:f>
        <x:v>SIN_ACCION</x:v>
      </x:c>
      <x:c r="U177" s="18"/>
    </x:row>
    <x:row r="178" ht="15" hidden="0" customHeight="1">
      <x:c r="A178" s="22"/>
      <x:c r="B178" s="18"/>
      <x:c r="C178" s="18"/>
      <x:c r="D178" s="18"/>
      <x:c r="E178" s="18"/>
      <x:c r="F178" s="18"/>
      <x:c r="G178" s="18"/>
      <x:c r="H178" s="18"/>
      <x:c r="I178" s="18"/>
      <x:c r="J178" s="18"/>
      <x:c r="K178" s="18"/>
      <x:c r="L178" s="23"/>
      <x:c r="M178" s="18"/>
      <x:c r="N178" s="19" t="n">
        <x:f>IFERROR(XLOOKUP(M178,'01_REGLAS_ACCIONES'!$A:$A,'01_REGLAS_ACCIONES'!$Q:$Q,0),0)</x:f>
        <x:v>0</x:v>
      </x:c>
      <x:c r="O178" s="18" t="str">
        <x:f>IFERROR(XLOOKUP(M178,'01_REGLAS_ACCIONES'!$A:$A,'01_REGLAS_ACCIONES'!$P:$P,"SIN_ACCION"),"SIN_ACCION")</x:f>
        <x:v>SIN_ACCION</x:v>
      </x:c>
      <x:c r="P178" s="23" t="n">
        <x:f>IF(O178="DESCUENTO",L178*N178,0)</x:f>
        <x:v>0</x:v>
      </x:c>
      <x:c r="Q178" s="19"/>
      <x:c r="R178" s="23" t="n">
        <x:f>L178*Q178</x:f>
        <x:v>0</x:v>
      </x:c>
      <x:c r="S178" s="23" t="n">
        <x:f>R178-P178</x:f>
        <x:v>0</x:v>
      </x:c>
      <x:c r="T178" s="18" t="str">
        <x:f>IF(M178="","SIN_ACCION",IF(ABS(S178)&lt;1,"OK",IF(S178&gt;0,"EXCESO_GASTO","MENOR_GASTO")))</x:f>
        <x:v>SIN_ACCION</x:v>
      </x:c>
      <x:c r="U178" s="18"/>
    </x:row>
    <x:row r="179" ht="15" hidden="0" customHeight="1">
      <x:c r="A179" s="22"/>
      <x:c r="B179" s="18"/>
      <x:c r="C179" s="18"/>
      <x:c r="D179" s="18"/>
      <x:c r="E179" s="18"/>
      <x:c r="F179" s="18"/>
      <x:c r="G179" s="18"/>
      <x:c r="H179" s="18"/>
      <x:c r="I179" s="18"/>
      <x:c r="J179" s="18"/>
      <x:c r="K179" s="18"/>
      <x:c r="L179" s="23"/>
      <x:c r="M179" s="18"/>
      <x:c r="N179" s="19" t="n">
        <x:f>IFERROR(XLOOKUP(M179,'01_REGLAS_ACCIONES'!$A:$A,'01_REGLAS_ACCIONES'!$Q:$Q,0),0)</x:f>
        <x:v>0</x:v>
      </x:c>
      <x:c r="O179" s="18" t="str">
        <x:f>IFERROR(XLOOKUP(M179,'01_REGLAS_ACCIONES'!$A:$A,'01_REGLAS_ACCIONES'!$P:$P,"SIN_ACCION"),"SIN_ACCION")</x:f>
        <x:v>SIN_ACCION</x:v>
      </x:c>
      <x:c r="P179" s="23" t="n">
        <x:f>IF(O179="DESCUENTO",L179*N179,0)</x:f>
        <x:v>0</x:v>
      </x:c>
      <x:c r="Q179" s="19"/>
      <x:c r="R179" s="23" t="n">
        <x:f>L179*Q179</x:f>
        <x:v>0</x:v>
      </x:c>
      <x:c r="S179" s="23" t="n">
        <x:f>R179-P179</x:f>
        <x:v>0</x:v>
      </x:c>
      <x:c r="T179" s="18" t="str">
        <x:f>IF(M179="","SIN_ACCION",IF(ABS(S179)&lt;1,"OK",IF(S179&gt;0,"EXCESO_GASTO","MENOR_GASTO")))</x:f>
        <x:v>SIN_ACCION</x:v>
      </x:c>
      <x:c r="U179" s="18"/>
    </x:row>
    <x:row r="180" ht="15" hidden="0" customHeight="1">
      <x:c r="A180" s="22"/>
      <x:c r="B180" s="18"/>
      <x:c r="C180" s="18"/>
      <x:c r="D180" s="18"/>
      <x:c r="E180" s="18"/>
      <x:c r="F180" s="18"/>
      <x:c r="G180" s="18"/>
      <x:c r="H180" s="18"/>
      <x:c r="I180" s="18"/>
      <x:c r="J180" s="18"/>
      <x:c r="K180" s="18"/>
      <x:c r="L180" s="23"/>
      <x:c r="M180" s="18"/>
      <x:c r="N180" s="19" t="n">
        <x:f>IFERROR(XLOOKUP(M180,'01_REGLAS_ACCIONES'!$A:$A,'01_REGLAS_ACCIONES'!$Q:$Q,0),0)</x:f>
        <x:v>0</x:v>
      </x:c>
      <x:c r="O180" s="18" t="str">
        <x:f>IFERROR(XLOOKUP(M180,'01_REGLAS_ACCIONES'!$A:$A,'01_REGLAS_ACCIONES'!$P:$P,"SIN_ACCION"),"SIN_ACCION")</x:f>
        <x:v>SIN_ACCION</x:v>
      </x:c>
      <x:c r="P180" s="23" t="n">
        <x:f>IF(O180="DESCUENTO",L180*N180,0)</x:f>
        <x:v>0</x:v>
      </x:c>
      <x:c r="Q180" s="19"/>
      <x:c r="R180" s="23" t="n">
        <x:f>L180*Q180</x:f>
        <x:v>0</x:v>
      </x:c>
      <x:c r="S180" s="23" t="n">
        <x:f>R180-P180</x:f>
        <x:v>0</x:v>
      </x:c>
      <x:c r="T180" s="18" t="str">
        <x:f>IF(M180="","SIN_ACCION",IF(ABS(S180)&lt;1,"OK",IF(S180&gt;0,"EXCESO_GASTO","MENOR_GASTO")))</x:f>
        <x:v>SIN_ACCION</x:v>
      </x:c>
      <x:c r="U180" s="18"/>
    </x:row>
    <x:row r="181" ht="15" hidden="0" customHeight="1">
      <x:c r="A181" s="22"/>
      <x:c r="B181" s="18"/>
      <x:c r="C181" s="18"/>
      <x:c r="D181" s="18"/>
      <x:c r="E181" s="18"/>
      <x:c r="F181" s="18"/>
      <x:c r="G181" s="18"/>
      <x:c r="H181" s="18"/>
      <x:c r="I181" s="18"/>
      <x:c r="J181" s="18"/>
      <x:c r="K181" s="18"/>
      <x:c r="L181" s="23"/>
      <x:c r="M181" s="18"/>
      <x:c r="N181" s="19" t="n">
        <x:f>IFERROR(XLOOKUP(M181,'01_REGLAS_ACCIONES'!$A:$A,'01_REGLAS_ACCIONES'!$Q:$Q,0),0)</x:f>
        <x:v>0</x:v>
      </x:c>
      <x:c r="O181" s="18" t="str">
        <x:f>IFERROR(XLOOKUP(M181,'01_REGLAS_ACCIONES'!$A:$A,'01_REGLAS_ACCIONES'!$P:$P,"SIN_ACCION"),"SIN_ACCION")</x:f>
        <x:v>SIN_ACCION</x:v>
      </x:c>
      <x:c r="P181" s="23" t="n">
        <x:f>IF(O181="DESCUENTO",L181*N181,0)</x:f>
        <x:v>0</x:v>
      </x:c>
      <x:c r="Q181" s="19"/>
      <x:c r="R181" s="23" t="n">
        <x:f>L181*Q181</x:f>
        <x:v>0</x:v>
      </x:c>
      <x:c r="S181" s="23" t="n">
        <x:f>R181-P181</x:f>
        <x:v>0</x:v>
      </x:c>
      <x:c r="T181" s="18" t="str">
        <x:f>IF(M181="","SIN_ACCION",IF(ABS(S181)&lt;1,"OK",IF(S181&gt;0,"EXCESO_GASTO","MENOR_GASTO")))</x:f>
        <x:v>SIN_ACCION</x:v>
      </x:c>
      <x:c r="U181" s="18"/>
    </x:row>
    <x:row r="182" ht="15" hidden="0" customHeight="1">
      <x:c r="A182" s="22"/>
      <x:c r="B182" s="18"/>
      <x:c r="C182" s="18"/>
      <x:c r="D182" s="18"/>
      <x:c r="E182" s="18"/>
      <x:c r="F182" s="18"/>
      <x:c r="G182" s="18"/>
      <x:c r="H182" s="18"/>
      <x:c r="I182" s="18"/>
      <x:c r="J182" s="18"/>
      <x:c r="K182" s="18"/>
      <x:c r="L182" s="23"/>
      <x:c r="M182" s="18"/>
      <x:c r="N182" s="19" t="n">
        <x:f>IFERROR(XLOOKUP(M182,'01_REGLAS_ACCIONES'!$A:$A,'01_REGLAS_ACCIONES'!$Q:$Q,0),0)</x:f>
        <x:v>0</x:v>
      </x:c>
      <x:c r="O182" s="18" t="str">
        <x:f>IFERROR(XLOOKUP(M182,'01_REGLAS_ACCIONES'!$A:$A,'01_REGLAS_ACCIONES'!$P:$P,"SIN_ACCION"),"SIN_ACCION")</x:f>
        <x:v>SIN_ACCION</x:v>
      </x:c>
      <x:c r="P182" s="23" t="n">
        <x:f>IF(O182="DESCUENTO",L182*N182,0)</x:f>
        <x:v>0</x:v>
      </x:c>
      <x:c r="Q182" s="19"/>
      <x:c r="R182" s="23" t="n">
        <x:f>L182*Q182</x:f>
        <x:v>0</x:v>
      </x:c>
      <x:c r="S182" s="23" t="n">
        <x:f>R182-P182</x:f>
        <x:v>0</x:v>
      </x:c>
      <x:c r="T182" s="18" t="str">
        <x:f>IF(M182="","SIN_ACCION",IF(ABS(S182)&lt;1,"OK",IF(S182&gt;0,"EXCESO_GASTO","MENOR_GASTO")))</x:f>
        <x:v>SIN_ACCION</x:v>
      </x:c>
      <x:c r="U182" s="18"/>
    </x:row>
    <x:row r="183" ht="15" hidden="0" customHeight="1">
      <x:c r="A183" s="22"/>
      <x:c r="B183" s="18"/>
      <x:c r="C183" s="18"/>
      <x:c r="D183" s="18"/>
      <x:c r="E183" s="18"/>
      <x:c r="F183" s="18"/>
      <x:c r="G183" s="18"/>
      <x:c r="H183" s="18"/>
      <x:c r="I183" s="18"/>
      <x:c r="J183" s="18"/>
      <x:c r="K183" s="18"/>
      <x:c r="L183" s="23"/>
      <x:c r="M183" s="18"/>
      <x:c r="N183" s="19" t="n">
        <x:f>IFERROR(XLOOKUP(M183,'01_REGLAS_ACCIONES'!$A:$A,'01_REGLAS_ACCIONES'!$Q:$Q,0),0)</x:f>
        <x:v>0</x:v>
      </x:c>
      <x:c r="O183" s="18" t="str">
        <x:f>IFERROR(XLOOKUP(M183,'01_REGLAS_ACCIONES'!$A:$A,'01_REGLAS_ACCIONES'!$P:$P,"SIN_ACCION"),"SIN_ACCION")</x:f>
        <x:v>SIN_ACCION</x:v>
      </x:c>
      <x:c r="P183" s="23" t="n">
        <x:f>IF(O183="DESCUENTO",L183*N183,0)</x:f>
        <x:v>0</x:v>
      </x:c>
      <x:c r="Q183" s="19"/>
      <x:c r="R183" s="23" t="n">
        <x:f>L183*Q183</x:f>
        <x:v>0</x:v>
      </x:c>
      <x:c r="S183" s="23" t="n">
        <x:f>R183-P183</x:f>
        <x:v>0</x:v>
      </x:c>
      <x:c r="T183" s="18" t="str">
        <x:f>IF(M183="","SIN_ACCION",IF(ABS(S183)&lt;1,"OK",IF(S183&gt;0,"EXCESO_GASTO","MENOR_GASTO")))</x:f>
        <x:v>SIN_ACCION</x:v>
      </x:c>
      <x:c r="U183" s="18"/>
    </x:row>
    <x:row r="184" ht="15" hidden="0" customHeight="1">
      <x:c r="A184" s="22"/>
      <x:c r="B184" s="18"/>
      <x:c r="C184" s="18"/>
      <x:c r="D184" s="18"/>
      <x:c r="E184" s="18"/>
      <x:c r="F184" s="18"/>
      <x:c r="G184" s="18"/>
      <x:c r="H184" s="18"/>
      <x:c r="I184" s="18"/>
      <x:c r="J184" s="18"/>
      <x:c r="K184" s="18"/>
      <x:c r="L184" s="23"/>
      <x:c r="M184" s="18"/>
      <x:c r="N184" s="19" t="n">
        <x:f>IFERROR(XLOOKUP(M184,'01_REGLAS_ACCIONES'!$A:$A,'01_REGLAS_ACCIONES'!$Q:$Q,0),0)</x:f>
        <x:v>0</x:v>
      </x:c>
      <x:c r="O184" s="18" t="str">
        <x:f>IFERROR(XLOOKUP(M184,'01_REGLAS_ACCIONES'!$A:$A,'01_REGLAS_ACCIONES'!$P:$P,"SIN_ACCION"),"SIN_ACCION")</x:f>
        <x:v>SIN_ACCION</x:v>
      </x:c>
      <x:c r="P184" s="23" t="n">
        <x:f>IF(O184="DESCUENTO",L184*N184,0)</x:f>
        <x:v>0</x:v>
      </x:c>
      <x:c r="Q184" s="19"/>
      <x:c r="R184" s="23" t="n">
        <x:f>L184*Q184</x:f>
        <x:v>0</x:v>
      </x:c>
      <x:c r="S184" s="23" t="n">
        <x:f>R184-P184</x:f>
        <x:v>0</x:v>
      </x:c>
      <x:c r="T184" s="18" t="str">
        <x:f>IF(M184="","SIN_ACCION",IF(ABS(S184)&lt;1,"OK",IF(S184&gt;0,"EXCESO_GASTO","MENOR_GASTO")))</x:f>
        <x:v>SIN_ACCION</x:v>
      </x:c>
      <x:c r="U184" s="18"/>
    </x:row>
    <x:row r="185" ht="15" hidden="0" customHeight="1">
      <x:c r="A185" s="22"/>
      <x:c r="B185" s="18"/>
      <x:c r="C185" s="18"/>
      <x:c r="D185" s="18"/>
      <x:c r="E185" s="18"/>
      <x:c r="F185" s="18"/>
      <x:c r="G185" s="18"/>
      <x:c r="H185" s="18"/>
      <x:c r="I185" s="18"/>
      <x:c r="J185" s="18"/>
      <x:c r="K185" s="18"/>
      <x:c r="L185" s="23"/>
      <x:c r="M185" s="18"/>
      <x:c r="N185" s="19" t="n">
        <x:f>IFERROR(XLOOKUP(M185,'01_REGLAS_ACCIONES'!$A:$A,'01_REGLAS_ACCIONES'!$Q:$Q,0),0)</x:f>
        <x:v>0</x:v>
      </x:c>
      <x:c r="O185" s="18" t="str">
        <x:f>IFERROR(XLOOKUP(M185,'01_REGLAS_ACCIONES'!$A:$A,'01_REGLAS_ACCIONES'!$P:$P,"SIN_ACCION"),"SIN_ACCION")</x:f>
        <x:v>SIN_ACCION</x:v>
      </x:c>
      <x:c r="P185" s="23" t="n">
        <x:f>IF(O185="DESCUENTO",L185*N185,0)</x:f>
        <x:v>0</x:v>
      </x:c>
      <x:c r="Q185" s="19"/>
      <x:c r="R185" s="23" t="n">
        <x:f>L185*Q185</x:f>
        <x:v>0</x:v>
      </x:c>
      <x:c r="S185" s="23" t="n">
        <x:f>R185-P185</x:f>
        <x:v>0</x:v>
      </x:c>
      <x:c r="T185" s="18" t="str">
        <x:f>IF(M185="","SIN_ACCION",IF(ABS(S185)&lt;1,"OK",IF(S185&gt;0,"EXCESO_GASTO","MENOR_GASTO")))</x:f>
        <x:v>SIN_ACCION</x:v>
      </x:c>
      <x:c r="U185" s="18"/>
    </x:row>
    <x:row r="186" ht="15" hidden="0" customHeight="1">
      <x:c r="A186" s="22"/>
      <x:c r="B186" s="18"/>
      <x:c r="C186" s="18"/>
      <x:c r="D186" s="18"/>
      <x:c r="E186" s="18"/>
      <x:c r="F186" s="18"/>
      <x:c r="G186" s="18"/>
      <x:c r="H186" s="18"/>
      <x:c r="I186" s="18"/>
      <x:c r="J186" s="18"/>
      <x:c r="K186" s="18"/>
      <x:c r="L186" s="23"/>
      <x:c r="M186" s="18"/>
      <x:c r="N186" s="19" t="n">
        <x:f>IFERROR(XLOOKUP(M186,'01_REGLAS_ACCIONES'!$A:$A,'01_REGLAS_ACCIONES'!$Q:$Q,0),0)</x:f>
        <x:v>0</x:v>
      </x:c>
      <x:c r="O186" s="18" t="str">
        <x:f>IFERROR(XLOOKUP(M186,'01_REGLAS_ACCIONES'!$A:$A,'01_REGLAS_ACCIONES'!$P:$P,"SIN_ACCION"),"SIN_ACCION")</x:f>
        <x:v>SIN_ACCION</x:v>
      </x:c>
      <x:c r="P186" s="23" t="n">
        <x:f>IF(O186="DESCUENTO",L186*N186,0)</x:f>
        <x:v>0</x:v>
      </x:c>
      <x:c r="Q186" s="19"/>
      <x:c r="R186" s="23" t="n">
        <x:f>L186*Q186</x:f>
        <x:v>0</x:v>
      </x:c>
      <x:c r="S186" s="23" t="n">
        <x:f>R186-P186</x:f>
        <x:v>0</x:v>
      </x:c>
      <x:c r="T186" s="18" t="str">
        <x:f>IF(M186="","SIN_ACCION",IF(ABS(S186)&lt;1,"OK",IF(S186&gt;0,"EXCESO_GASTO","MENOR_GASTO")))</x:f>
        <x:v>SIN_ACCION</x:v>
      </x:c>
      <x:c r="U186" s="18"/>
    </x:row>
    <x:row r="187" ht="15" hidden="0" customHeight="1">
      <x:c r="A187" s="22"/>
      <x:c r="B187" s="18"/>
      <x:c r="C187" s="18"/>
      <x:c r="D187" s="18"/>
      <x:c r="E187" s="18"/>
      <x:c r="F187" s="18"/>
      <x:c r="G187" s="18"/>
      <x:c r="H187" s="18"/>
      <x:c r="I187" s="18"/>
      <x:c r="J187" s="18"/>
      <x:c r="K187" s="18"/>
      <x:c r="L187" s="23"/>
      <x:c r="M187" s="18"/>
      <x:c r="N187" s="19" t="n">
        <x:f>IFERROR(XLOOKUP(M187,'01_REGLAS_ACCIONES'!$A:$A,'01_REGLAS_ACCIONES'!$Q:$Q,0),0)</x:f>
        <x:v>0</x:v>
      </x:c>
      <x:c r="O187" s="18" t="str">
        <x:f>IFERROR(XLOOKUP(M187,'01_REGLAS_ACCIONES'!$A:$A,'01_REGLAS_ACCIONES'!$P:$P,"SIN_ACCION"),"SIN_ACCION")</x:f>
        <x:v>SIN_ACCION</x:v>
      </x:c>
      <x:c r="P187" s="23" t="n">
        <x:f>IF(O187="DESCUENTO",L187*N187,0)</x:f>
        <x:v>0</x:v>
      </x:c>
      <x:c r="Q187" s="19"/>
      <x:c r="R187" s="23" t="n">
        <x:f>L187*Q187</x:f>
        <x:v>0</x:v>
      </x:c>
      <x:c r="S187" s="23" t="n">
        <x:f>R187-P187</x:f>
        <x:v>0</x:v>
      </x:c>
      <x:c r="T187" s="18" t="str">
        <x:f>IF(M187="","SIN_ACCION",IF(ABS(S187)&lt;1,"OK",IF(S187&gt;0,"EXCESO_GASTO","MENOR_GASTO")))</x:f>
        <x:v>SIN_ACCION</x:v>
      </x:c>
      <x:c r="U187" s="18"/>
    </x:row>
    <x:row r="188" ht="15" hidden="0" customHeight="1">
      <x:c r="A188" s="22"/>
      <x:c r="B188" s="18"/>
      <x:c r="C188" s="18"/>
      <x:c r="D188" s="18"/>
      <x:c r="E188" s="18"/>
      <x:c r="F188" s="18"/>
      <x:c r="G188" s="18"/>
      <x:c r="H188" s="18"/>
      <x:c r="I188" s="18"/>
      <x:c r="J188" s="18"/>
      <x:c r="K188" s="18"/>
      <x:c r="L188" s="23"/>
      <x:c r="M188" s="18"/>
      <x:c r="N188" s="19" t="n">
        <x:f>IFERROR(XLOOKUP(M188,'01_REGLAS_ACCIONES'!$A:$A,'01_REGLAS_ACCIONES'!$Q:$Q,0),0)</x:f>
        <x:v>0</x:v>
      </x:c>
      <x:c r="O188" s="18" t="str">
        <x:f>IFERROR(XLOOKUP(M188,'01_REGLAS_ACCIONES'!$A:$A,'01_REGLAS_ACCIONES'!$P:$P,"SIN_ACCION"),"SIN_ACCION")</x:f>
        <x:v>SIN_ACCION</x:v>
      </x:c>
      <x:c r="P188" s="23" t="n">
        <x:f>IF(O188="DESCUENTO",L188*N188,0)</x:f>
        <x:v>0</x:v>
      </x:c>
      <x:c r="Q188" s="19"/>
      <x:c r="R188" s="23" t="n">
        <x:f>L188*Q188</x:f>
        <x:v>0</x:v>
      </x:c>
      <x:c r="S188" s="23" t="n">
        <x:f>R188-P188</x:f>
        <x:v>0</x:v>
      </x:c>
      <x:c r="T188" s="18" t="str">
        <x:f>IF(M188="","SIN_ACCION",IF(ABS(S188)&lt;1,"OK",IF(S188&gt;0,"EXCESO_GASTO","MENOR_GASTO")))</x:f>
        <x:v>SIN_ACCION</x:v>
      </x:c>
      <x:c r="U188" s="18"/>
    </x:row>
    <x:row r="189" ht="15" hidden="0" customHeight="1">
      <x:c r="A189" s="22"/>
      <x:c r="B189" s="18"/>
      <x:c r="C189" s="18"/>
      <x:c r="D189" s="18"/>
      <x:c r="E189" s="18"/>
      <x:c r="F189" s="18"/>
      <x:c r="G189" s="18"/>
      <x:c r="H189" s="18"/>
      <x:c r="I189" s="18"/>
      <x:c r="J189" s="18"/>
      <x:c r="K189" s="18"/>
      <x:c r="L189" s="23"/>
      <x:c r="M189" s="18"/>
      <x:c r="N189" s="19" t="n">
        <x:f>IFERROR(XLOOKUP(M189,'01_REGLAS_ACCIONES'!$A:$A,'01_REGLAS_ACCIONES'!$Q:$Q,0),0)</x:f>
        <x:v>0</x:v>
      </x:c>
      <x:c r="O189" s="18" t="str">
        <x:f>IFERROR(XLOOKUP(M189,'01_REGLAS_ACCIONES'!$A:$A,'01_REGLAS_ACCIONES'!$P:$P,"SIN_ACCION"),"SIN_ACCION")</x:f>
        <x:v>SIN_ACCION</x:v>
      </x:c>
      <x:c r="P189" s="23" t="n">
        <x:f>IF(O189="DESCUENTO",L189*N189,0)</x:f>
        <x:v>0</x:v>
      </x:c>
      <x:c r="Q189" s="19"/>
      <x:c r="R189" s="23" t="n">
        <x:f>L189*Q189</x:f>
        <x:v>0</x:v>
      </x:c>
      <x:c r="S189" s="23" t="n">
        <x:f>R189-P189</x:f>
        <x:v>0</x:v>
      </x:c>
      <x:c r="T189" s="18" t="str">
        <x:f>IF(M189="","SIN_ACCION",IF(ABS(S189)&lt;1,"OK",IF(S189&gt;0,"EXCESO_GASTO","MENOR_GASTO")))</x:f>
        <x:v>SIN_ACCION</x:v>
      </x:c>
      <x:c r="U189" s="18"/>
    </x:row>
    <x:row r="190" ht="15" hidden="0" customHeight="1">
      <x:c r="A190" s="22"/>
      <x:c r="B190" s="18"/>
      <x:c r="C190" s="18"/>
      <x:c r="D190" s="18"/>
      <x:c r="E190" s="18"/>
      <x:c r="F190" s="18"/>
      <x:c r="G190" s="18"/>
      <x:c r="H190" s="18"/>
      <x:c r="I190" s="18"/>
      <x:c r="J190" s="18"/>
      <x:c r="K190" s="18"/>
      <x:c r="L190" s="23"/>
      <x:c r="M190" s="18"/>
      <x:c r="N190" s="19" t="n">
        <x:f>IFERROR(XLOOKUP(M190,'01_REGLAS_ACCIONES'!$A:$A,'01_REGLAS_ACCIONES'!$Q:$Q,0),0)</x:f>
        <x:v>0</x:v>
      </x:c>
      <x:c r="O190" s="18" t="str">
        <x:f>IFERROR(XLOOKUP(M190,'01_REGLAS_ACCIONES'!$A:$A,'01_REGLAS_ACCIONES'!$P:$P,"SIN_ACCION"),"SIN_ACCION")</x:f>
        <x:v>SIN_ACCION</x:v>
      </x:c>
      <x:c r="P190" s="23" t="n">
        <x:f>IF(O190="DESCUENTO",L190*N190,0)</x:f>
        <x:v>0</x:v>
      </x:c>
      <x:c r="Q190" s="19"/>
      <x:c r="R190" s="23" t="n">
        <x:f>L190*Q190</x:f>
        <x:v>0</x:v>
      </x:c>
      <x:c r="S190" s="23" t="n">
        <x:f>R190-P190</x:f>
        <x:v>0</x:v>
      </x:c>
      <x:c r="T190" s="18" t="str">
        <x:f>IF(M190="","SIN_ACCION",IF(ABS(S190)&lt;1,"OK",IF(S190&gt;0,"EXCESO_GASTO","MENOR_GASTO")))</x:f>
        <x:v>SIN_ACCION</x:v>
      </x:c>
      <x:c r="U190" s="18"/>
    </x:row>
    <x:row r="191" ht="15" hidden="0" customHeight="1">
      <x:c r="A191" s="22"/>
      <x:c r="B191" s="18"/>
      <x:c r="C191" s="18"/>
      <x:c r="D191" s="18"/>
      <x:c r="E191" s="18"/>
      <x:c r="F191" s="18"/>
      <x:c r="G191" s="18"/>
      <x:c r="H191" s="18"/>
      <x:c r="I191" s="18"/>
      <x:c r="J191" s="18"/>
      <x:c r="K191" s="18"/>
      <x:c r="L191" s="23"/>
      <x:c r="M191" s="18"/>
      <x:c r="N191" s="19" t="n">
        <x:f>IFERROR(XLOOKUP(M191,'01_REGLAS_ACCIONES'!$A:$A,'01_REGLAS_ACCIONES'!$Q:$Q,0),0)</x:f>
        <x:v>0</x:v>
      </x:c>
      <x:c r="O191" s="18" t="str">
        <x:f>IFERROR(XLOOKUP(M191,'01_REGLAS_ACCIONES'!$A:$A,'01_REGLAS_ACCIONES'!$P:$P,"SIN_ACCION"),"SIN_ACCION")</x:f>
        <x:v>SIN_ACCION</x:v>
      </x:c>
      <x:c r="P191" s="23" t="n">
        <x:f>IF(O191="DESCUENTO",L191*N191,0)</x:f>
        <x:v>0</x:v>
      </x:c>
      <x:c r="Q191" s="19"/>
      <x:c r="R191" s="23" t="n">
        <x:f>L191*Q191</x:f>
        <x:v>0</x:v>
      </x:c>
      <x:c r="S191" s="23" t="n">
        <x:f>R191-P191</x:f>
        <x:v>0</x:v>
      </x:c>
      <x:c r="T191" s="18" t="str">
        <x:f>IF(M191="","SIN_ACCION",IF(ABS(S191)&lt;1,"OK",IF(S191&gt;0,"EXCESO_GASTO","MENOR_GASTO")))</x:f>
        <x:v>SIN_ACCION</x:v>
      </x:c>
      <x:c r="U191" s="18"/>
    </x:row>
    <x:row r="192" ht="15" hidden="0" customHeight="1">
      <x:c r="A192" s="22"/>
      <x:c r="B192" s="18"/>
      <x:c r="C192" s="18"/>
      <x:c r="D192" s="18"/>
      <x:c r="E192" s="18"/>
      <x:c r="F192" s="18"/>
      <x:c r="G192" s="18"/>
      <x:c r="H192" s="18"/>
      <x:c r="I192" s="18"/>
      <x:c r="J192" s="18"/>
      <x:c r="K192" s="18"/>
      <x:c r="L192" s="23"/>
      <x:c r="M192" s="18"/>
      <x:c r="N192" s="19" t="n">
        <x:f>IFERROR(XLOOKUP(M192,'01_REGLAS_ACCIONES'!$A:$A,'01_REGLAS_ACCIONES'!$Q:$Q,0),0)</x:f>
        <x:v>0</x:v>
      </x:c>
      <x:c r="O192" s="18" t="str">
        <x:f>IFERROR(XLOOKUP(M192,'01_REGLAS_ACCIONES'!$A:$A,'01_REGLAS_ACCIONES'!$P:$P,"SIN_ACCION"),"SIN_ACCION")</x:f>
        <x:v>SIN_ACCION</x:v>
      </x:c>
      <x:c r="P192" s="23" t="n">
        <x:f>IF(O192="DESCUENTO",L192*N192,0)</x:f>
        <x:v>0</x:v>
      </x:c>
      <x:c r="Q192" s="19"/>
      <x:c r="R192" s="23" t="n">
        <x:f>L192*Q192</x:f>
        <x:v>0</x:v>
      </x:c>
      <x:c r="S192" s="23" t="n">
        <x:f>R192-P192</x:f>
        <x:v>0</x:v>
      </x:c>
      <x:c r="T192" s="18" t="str">
        <x:f>IF(M192="","SIN_ACCION",IF(ABS(S192)&lt;1,"OK",IF(S192&gt;0,"EXCESO_GASTO","MENOR_GASTO")))</x:f>
        <x:v>SIN_ACCION</x:v>
      </x:c>
      <x:c r="U192" s="18"/>
    </x:row>
    <x:row r="193" ht="15" hidden="0" customHeight="1">
      <x:c r="A193" s="22"/>
      <x:c r="B193" s="18"/>
      <x:c r="C193" s="18"/>
      <x:c r="D193" s="18"/>
      <x:c r="E193" s="18"/>
      <x:c r="F193" s="18"/>
      <x:c r="G193" s="18"/>
      <x:c r="H193" s="18"/>
      <x:c r="I193" s="18"/>
      <x:c r="J193" s="18"/>
      <x:c r="K193" s="18"/>
      <x:c r="L193" s="23"/>
      <x:c r="M193" s="18"/>
      <x:c r="N193" s="19" t="n">
        <x:f>IFERROR(XLOOKUP(M193,'01_REGLAS_ACCIONES'!$A:$A,'01_REGLAS_ACCIONES'!$Q:$Q,0),0)</x:f>
        <x:v>0</x:v>
      </x:c>
      <x:c r="O193" s="18" t="str">
        <x:f>IFERROR(XLOOKUP(M193,'01_REGLAS_ACCIONES'!$A:$A,'01_REGLAS_ACCIONES'!$P:$P,"SIN_ACCION"),"SIN_ACCION")</x:f>
        <x:v>SIN_ACCION</x:v>
      </x:c>
      <x:c r="P193" s="23" t="n">
        <x:f>IF(O193="DESCUENTO",L193*N193,0)</x:f>
        <x:v>0</x:v>
      </x:c>
      <x:c r="Q193" s="19"/>
      <x:c r="R193" s="23" t="n">
        <x:f>L193*Q193</x:f>
        <x:v>0</x:v>
      </x:c>
      <x:c r="S193" s="23" t="n">
        <x:f>R193-P193</x:f>
        <x:v>0</x:v>
      </x:c>
      <x:c r="T193" s="18" t="str">
        <x:f>IF(M193="","SIN_ACCION",IF(ABS(S193)&lt;1,"OK",IF(S193&gt;0,"EXCESO_GASTO","MENOR_GASTO")))</x:f>
        <x:v>SIN_ACCION</x:v>
      </x:c>
      <x:c r="U193" s="18"/>
    </x:row>
    <x:row r="194" ht="15" hidden="0" customHeight="1">
      <x:c r="A194" s="22"/>
      <x:c r="B194" s="18"/>
      <x:c r="C194" s="18"/>
      <x:c r="D194" s="18"/>
      <x:c r="E194" s="18"/>
      <x:c r="F194" s="18"/>
      <x:c r="G194" s="18"/>
      <x:c r="H194" s="18"/>
      <x:c r="I194" s="18"/>
      <x:c r="J194" s="18"/>
      <x:c r="K194" s="18"/>
      <x:c r="L194" s="23"/>
      <x:c r="M194" s="18"/>
      <x:c r="N194" s="19" t="n">
        <x:f>IFERROR(XLOOKUP(M194,'01_REGLAS_ACCIONES'!$A:$A,'01_REGLAS_ACCIONES'!$Q:$Q,0),0)</x:f>
        <x:v>0</x:v>
      </x:c>
      <x:c r="O194" s="18" t="str">
        <x:f>IFERROR(XLOOKUP(M194,'01_REGLAS_ACCIONES'!$A:$A,'01_REGLAS_ACCIONES'!$P:$P,"SIN_ACCION"),"SIN_ACCION")</x:f>
        <x:v>SIN_ACCION</x:v>
      </x:c>
      <x:c r="P194" s="23" t="n">
        <x:f>IF(O194="DESCUENTO",L194*N194,0)</x:f>
        <x:v>0</x:v>
      </x:c>
      <x:c r="Q194" s="19"/>
      <x:c r="R194" s="23" t="n">
        <x:f>L194*Q194</x:f>
        <x:v>0</x:v>
      </x:c>
      <x:c r="S194" s="23" t="n">
        <x:f>R194-P194</x:f>
        <x:v>0</x:v>
      </x:c>
      <x:c r="T194" s="18" t="str">
        <x:f>IF(M194="","SIN_ACCION",IF(ABS(S194)&lt;1,"OK",IF(S194&gt;0,"EXCESO_GASTO","MENOR_GASTO")))</x:f>
        <x:v>SIN_ACCION</x:v>
      </x:c>
      <x:c r="U194" s="18"/>
    </x:row>
    <x:row r="195" ht="15" hidden="0" customHeight="1">
      <x:c r="A195" s="22"/>
      <x:c r="B195" s="18"/>
      <x:c r="C195" s="18"/>
      <x:c r="D195" s="18"/>
      <x:c r="E195" s="18"/>
      <x:c r="F195" s="18"/>
      <x:c r="G195" s="18"/>
      <x:c r="H195" s="18"/>
      <x:c r="I195" s="18"/>
      <x:c r="J195" s="18"/>
      <x:c r="K195" s="18"/>
      <x:c r="L195" s="23"/>
      <x:c r="M195" s="18"/>
      <x:c r="N195" s="19" t="n">
        <x:f>IFERROR(XLOOKUP(M195,'01_REGLAS_ACCIONES'!$A:$A,'01_REGLAS_ACCIONES'!$Q:$Q,0),0)</x:f>
        <x:v>0</x:v>
      </x:c>
      <x:c r="O195" s="18" t="str">
        <x:f>IFERROR(XLOOKUP(M195,'01_REGLAS_ACCIONES'!$A:$A,'01_REGLAS_ACCIONES'!$P:$P,"SIN_ACCION"),"SIN_ACCION")</x:f>
        <x:v>SIN_ACCION</x:v>
      </x:c>
      <x:c r="P195" s="23" t="n">
        <x:f>IF(O195="DESCUENTO",L195*N195,0)</x:f>
        <x:v>0</x:v>
      </x:c>
      <x:c r="Q195" s="19"/>
      <x:c r="R195" s="23" t="n">
        <x:f>L195*Q195</x:f>
        <x:v>0</x:v>
      </x:c>
      <x:c r="S195" s="23" t="n">
        <x:f>R195-P195</x:f>
        <x:v>0</x:v>
      </x:c>
      <x:c r="T195" s="18" t="str">
        <x:f>IF(M195="","SIN_ACCION",IF(ABS(S195)&lt;1,"OK",IF(S195&gt;0,"EXCESO_GASTO","MENOR_GASTO")))</x:f>
        <x:v>SIN_ACCION</x:v>
      </x:c>
      <x:c r="U195" s="18"/>
    </x:row>
    <x:row r="196" ht="15" hidden="0" customHeight="1">
      <x:c r="A196" s="22"/>
      <x:c r="B196" s="18"/>
      <x:c r="C196" s="18"/>
      <x:c r="D196" s="18"/>
      <x:c r="E196" s="18"/>
      <x:c r="F196" s="18"/>
      <x:c r="G196" s="18"/>
      <x:c r="H196" s="18"/>
      <x:c r="I196" s="18"/>
      <x:c r="J196" s="18"/>
      <x:c r="K196" s="18"/>
      <x:c r="L196" s="23"/>
      <x:c r="M196" s="18"/>
      <x:c r="N196" s="19" t="n">
        <x:f>IFERROR(XLOOKUP(M196,'01_REGLAS_ACCIONES'!$A:$A,'01_REGLAS_ACCIONES'!$Q:$Q,0),0)</x:f>
        <x:v>0</x:v>
      </x:c>
      <x:c r="O196" s="18" t="str">
        <x:f>IFERROR(XLOOKUP(M196,'01_REGLAS_ACCIONES'!$A:$A,'01_REGLAS_ACCIONES'!$P:$P,"SIN_ACCION"),"SIN_ACCION")</x:f>
        <x:v>SIN_ACCION</x:v>
      </x:c>
      <x:c r="P196" s="23" t="n">
        <x:f>IF(O196="DESCUENTO",L196*N196,0)</x:f>
        <x:v>0</x:v>
      </x:c>
      <x:c r="Q196" s="19"/>
      <x:c r="R196" s="23" t="n">
        <x:f>L196*Q196</x:f>
        <x:v>0</x:v>
      </x:c>
      <x:c r="S196" s="23" t="n">
        <x:f>R196-P196</x:f>
        <x:v>0</x:v>
      </x:c>
      <x:c r="T196" s="18" t="str">
        <x:f>IF(M196="","SIN_ACCION",IF(ABS(S196)&lt;1,"OK",IF(S196&gt;0,"EXCESO_GASTO","MENOR_GASTO")))</x:f>
        <x:v>SIN_ACCION</x:v>
      </x:c>
      <x:c r="U196" s="18"/>
    </x:row>
    <x:row r="197" ht="15" hidden="0" customHeight="1">
      <x:c r="A197" s="22"/>
      <x:c r="B197" s="18"/>
      <x:c r="C197" s="18"/>
      <x:c r="D197" s="18"/>
      <x:c r="E197" s="18"/>
      <x:c r="F197" s="18"/>
      <x:c r="G197" s="18"/>
      <x:c r="H197" s="18"/>
      <x:c r="I197" s="18"/>
      <x:c r="J197" s="18"/>
      <x:c r="K197" s="18"/>
      <x:c r="L197" s="23"/>
      <x:c r="M197" s="18"/>
      <x:c r="N197" s="19" t="n">
        <x:f>IFERROR(XLOOKUP(M197,'01_REGLAS_ACCIONES'!$A:$A,'01_REGLAS_ACCIONES'!$Q:$Q,0),0)</x:f>
        <x:v>0</x:v>
      </x:c>
      <x:c r="O197" s="18" t="str">
        <x:f>IFERROR(XLOOKUP(M197,'01_REGLAS_ACCIONES'!$A:$A,'01_REGLAS_ACCIONES'!$P:$P,"SIN_ACCION"),"SIN_ACCION")</x:f>
        <x:v>SIN_ACCION</x:v>
      </x:c>
      <x:c r="P197" s="23" t="n">
        <x:f>IF(O197="DESCUENTO",L197*N197,0)</x:f>
        <x:v>0</x:v>
      </x:c>
      <x:c r="Q197" s="19"/>
      <x:c r="R197" s="23" t="n">
        <x:f>L197*Q197</x:f>
        <x:v>0</x:v>
      </x:c>
      <x:c r="S197" s="23" t="n">
        <x:f>R197-P197</x:f>
        <x:v>0</x:v>
      </x:c>
      <x:c r="T197" s="18" t="str">
        <x:f>IF(M197="","SIN_ACCION",IF(ABS(S197)&lt;1,"OK",IF(S197&gt;0,"EXCESO_GASTO","MENOR_GASTO")))</x:f>
        <x:v>SIN_ACCION</x:v>
      </x:c>
      <x:c r="U197" s="18"/>
    </x:row>
    <x:row r="198" ht="15" hidden="0" customHeight="1">
      <x:c r="A198" s="22"/>
      <x:c r="B198" s="18"/>
      <x:c r="C198" s="18"/>
      <x:c r="D198" s="18"/>
      <x:c r="E198" s="18"/>
      <x:c r="F198" s="18"/>
      <x:c r="G198" s="18"/>
      <x:c r="H198" s="18"/>
      <x:c r="I198" s="18"/>
      <x:c r="J198" s="18"/>
      <x:c r="K198" s="18"/>
      <x:c r="L198" s="23"/>
      <x:c r="M198" s="18"/>
      <x:c r="N198" s="19" t="n">
        <x:f>IFERROR(XLOOKUP(M198,'01_REGLAS_ACCIONES'!$A:$A,'01_REGLAS_ACCIONES'!$Q:$Q,0),0)</x:f>
        <x:v>0</x:v>
      </x:c>
      <x:c r="O198" s="18" t="str">
        <x:f>IFERROR(XLOOKUP(M198,'01_REGLAS_ACCIONES'!$A:$A,'01_REGLAS_ACCIONES'!$P:$P,"SIN_ACCION"),"SIN_ACCION")</x:f>
        <x:v>SIN_ACCION</x:v>
      </x:c>
      <x:c r="P198" s="23" t="n">
        <x:f>IF(O198="DESCUENTO",L198*N198,0)</x:f>
        <x:v>0</x:v>
      </x:c>
      <x:c r="Q198" s="19"/>
      <x:c r="R198" s="23" t="n">
        <x:f>L198*Q198</x:f>
        <x:v>0</x:v>
      </x:c>
      <x:c r="S198" s="23" t="n">
        <x:f>R198-P198</x:f>
        <x:v>0</x:v>
      </x:c>
      <x:c r="T198" s="18" t="str">
        <x:f>IF(M198="","SIN_ACCION",IF(ABS(S198)&lt;1,"OK",IF(S198&gt;0,"EXCESO_GASTO","MENOR_GASTO")))</x:f>
        <x:v>SIN_ACCION</x:v>
      </x:c>
      <x:c r="U198" s="18"/>
    </x:row>
    <x:row r="199" ht="15" hidden="0" customHeight="1">
      <x:c r="A199" s="22"/>
      <x:c r="B199" s="18"/>
      <x:c r="C199" s="18"/>
      <x:c r="D199" s="18"/>
      <x:c r="E199" s="18"/>
      <x:c r="F199" s="18"/>
      <x:c r="G199" s="18"/>
      <x:c r="H199" s="18"/>
      <x:c r="I199" s="18"/>
      <x:c r="J199" s="18"/>
      <x:c r="K199" s="18"/>
      <x:c r="L199" s="23"/>
      <x:c r="M199" s="18"/>
      <x:c r="N199" s="19" t="n">
        <x:f>IFERROR(XLOOKUP(M199,'01_REGLAS_ACCIONES'!$A:$A,'01_REGLAS_ACCIONES'!$Q:$Q,0),0)</x:f>
        <x:v>0</x:v>
      </x:c>
      <x:c r="O199" s="18" t="str">
        <x:f>IFERROR(XLOOKUP(M199,'01_REGLAS_ACCIONES'!$A:$A,'01_REGLAS_ACCIONES'!$P:$P,"SIN_ACCION"),"SIN_ACCION")</x:f>
        <x:v>SIN_ACCION</x:v>
      </x:c>
      <x:c r="P199" s="23" t="n">
        <x:f>IF(O199="DESCUENTO",L199*N199,0)</x:f>
        <x:v>0</x:v>
      </x:c>
      <x:c r="Q199" s="19"/>
      <x:c r="R199" s="23" t="n">
        <x:f>L199*Q199</x:f>
        <x:v>0</x:v>
      </x:c>
      <x:c r="S199" s="23" t="n">
        <x:f>R199-P199</x:f>
        <x:v>0</x:v>
      </x:c>
      <x:c r="T199" s="18" t="str">
        <x:f>IF(M199="","SIN_ACCION",IF(ABS(S199)&lt;1,"OK",IF(S199&gt;0,"EXCESO_GASTO","MENOR_GASTO")))</x:f>
        <x:v>SIN_ACCION</x:v>
      </x:c>
      <x:c r="U199" s="18"/>
    </x:row>
    <x:row r="200" ht="15" hidden="0" customHeight="1">
      <x:c r="A200" s="22"/>
      <x:c r="B200" s="18"/>
      <x:c r="C200" s="18"/>
      <x:c r="D200" s="18"/>
      <x:c r="E200" s="18"/>
      <x:c r="F200" s="18"/>
      <x:c r="G200" s="18"/>
      <x:c r="H200" s="18"/>
      <x:c r="I200" s="18"/>
      <x:c r="J200" s="18"/>
      <x:c r="K200" s="18"/>
      <x:c r="L200" s="23"/>
      <x:c r="M200" s="18"/>
      <x:c r="N200" s="19" t="n">
        <x:f>IFERROR(XLOOKUP(M200,'01_REGLAS_ACCIONES'!$A:$A,'01_REGLAS_ACCIONES'!$Q:$Q,0),0)</x:f>
        <x:v>0</x:v>
      </x:c>
      <x:c r="O200" s="18" t="str">
        <x:f>IFERROR(XLOOKUP(M200,'01_REGLAS_ACCIONES'!$A:$A,'01_REGLAS_ACCIONES'!$P:$P,"SIN_ACCION"),"SIN_ACCION")</x:f>
        <x:v>SIN_ACCION</x:v>
      </x:c>
      <x:c r="P200" s="23" t="n">
        <x:f>IF(O200="DESCUENTO",L200*N200,0)</x:f>
        <x:v>0</x:v>
      </x:c>
      <x:c r="Q200" s="19"/>
      <x:c r="R200" s="23" t="n">
        <x:f>L200*Q200</x:f>
        <x:v>0</x:v>
      </x:c>
      <x:c r="S200" s="23" t="n">
        <x:f>R200-P200</x:f>
        <x:v>0</x:v>
      </x:c>
      <x:c r="T200" s="18" t="str">
        <x:f>IF(M200="","SIN_ACCION",IF(ABS(S200)&lt;1,"OK",IF(S200&gt;0,"EXCESO_GASTO","MENOR_GASTO")))</x:f>
        <x:v>SIN_ACCION</x:v>
      </x:c>
      <x:c r="U200" s="18"/>
    </x:row>
    <x:row r="201" ht="15" hidden="0" customHeight="1">
      <x:c r="A201" s="22"/>
      <x:c r="B201" s="18"/>
      <x:c r="C201" s="18"/>
      <x:c r="D201" s="18"/>
      <x:c r="E201" s="18"/>
      <x:c r="F201" s="18"/>
      <x:c r="G201" s="18"/>
      <x:c r="H201" s="18"/>
      <x:c r="I201" s="18"/>
      <x:c r="J201" s="18"/>
      <x:c r="K201" s="18"/>
      <x:c r="L201" s="23"/>
      <x:c r="M201" s="18"/>
      <x:c r="N201" s="19" t="n">
        <x:f>IFERROR(XLOOKUP(M201,'01_REGLAS_ACCIONES'!$A:$A,'01_REGLAS_ACCIONES'!$Q:$Q,0),0)</x:f>
        <x:v>0</x:v>
      </x:c>
      <x:c r="O201" s="18" t="str">
        <x:f>IFERROR(XLOOKUP(M201,'01_REGLAS_ACCIONES'!$A:$A,'01_REGLAS_ACCIONES'!$P:$P,"SIN_ACCION"),"SIN_ACCION")</x:f>
        <x:v>SIN_ACCION</x:v>
      </x:c>
      <x:c r="P201" s="23" t="n">
        <x:f>IF(O201="DESCUENTO",L201*N201,0)</x:f>
        <x:v>0</x:v>
      </x:c>
      <x:c r="Q201" s="19"/>
      <x:c r="R201" s="23" t="n">
        <x:f>L201*Q201</x:f>
        <x:v>0</x:v>
      </x:c>
      <x:c r="S201" s="23" t="n">
        <x:f>R201-P201</x:f>
        <x:v>0</x:v>
      </x:c>
      <x:c r="T201" s="18" t="str">
        <x:f>IF(M201="","SIN_ACCION",IF(ABS(S201)&lt;1,"OK",IF(S201&gt;0,"EXCESO_GASTO","MENOR_GASTO")))</x:f>
        <x:v>SIN_ACCION</x:v>
      </x:c>
      <x:c r="U201" s="18"/>
    </x:row>
    <x:row r="202"/>
    <x:row r="203"/>
    <x:row r="204"/>
    <x:row r="205"/>
    <x:row r="206"/>
    <x:row r="207"/>
    <x:row r="208"/>
    <x:row r="209"/>
    <x:row r="210"/>
    <x:row r="211"/>
    <x:row r="212"/>
    <x:row r="213"/>
    <x:row r="214"/>
    <x:row r="215"/>
    <x:row r="216"/>
    <x:row r="217"/>
    <x:row r="218"/>
    <x:row r="219"/>
    <x:row r="220"/>
    <x:row r="221"/>
    <x:row r="222"/>
    <x:row r="223"/>
    <x:row r="224"/>
    <x:row r="225"/>
    <x:row r="226"/>
    <x:row r="227"/>
    <x:row r="228"/>
    <x:row r="229"/>
    <x:row r="230"/>
    <x:row r="231"/>
    <x:row r="232"/>
    <x:row r="233"/>
    <x:row r="234"/>
    <x:row r="235"/>
    <x:row r="236"/>
    <x:row r="237"/>
    <x:row r="238"/>
    <x:row r="239"/>
    <x:row r="240"/>
    <x:row r="241"/>
    <x:row r="242"/>
    <x:row r="243"/>
    <x:row r="244"/>
    <x:row r="245"/>
    <x:row r="246"/>
    <x:row r="247"/>
    <x:row r="248"/>
    <x:row r="249"/>
    <x:row r="250"/>
    <x:row r="251"/>
    <x:row r="252"/>
    <x:row r="253"/>
    <x:row r="254"/>
    <x:row r="255"/>
    <x:row r="256"/>
    <x:row r="257"/>
    <x:row r="258"/>
    <x:row r="259"/>
    <x:row r="260"/>
    <x:row r="261"/>
    <x:row r="262"/>
    <x:row r="263"/>
    <x:row r="264"/>
    <x:row r="265"/>
    <x:row r="266"/>
    <x:row r="267"/>
    <x:row r="268"/>
    <x:row r="269"/>
    <x:row r="270"/>
    <x:row r="271"/>
    <x:row r="272"/>
    <x:row r="273"/>
    <x:row r="274"/>
    <x:row r="275"/>
    <x:row r="276"/>
    <x:row r="277"/>
    <x:row r="278"/>
    <x:row r="279"/>
    <x:row r="280"/>
    <x:row r="281"/>
    <x:row r="282"/>
    <x:row r="283"/>
    <x:row r="284"/>
    <x:row r="285"/>
    <x:row r="286"/>
    <x:row r="287"/>
    <x:row r="288"/>
    <x:row r="289"/>
    <x:row r="290"/>
    <x:row r="291"/>
    <x:row r="292"/>
    <x:row r="293"/>
    <x:row r="294"/>
    <x:row r="295"/>
    <x:row r="296"/>
    <x:row r="297"/>
    <x:row r="298"/>
    <x:row r="299"/>
    <x:row r="300"/>
  </x:sheetData>
  <x:conditionalFormatting sqref="T2:T201">
    <x:cfRule type="expression" dxfId="1" priority="1">
      <x:formula>$T2="EXCESO_GASTO"</x:formula>
    </x:cfRule>
    <x:cfRule type="expression" dxfId="2" priority="2">
      <x:formula>$T2="OK"</x:formula>
    </x:cfRule>
    <x:cfRule type="expression" dxfId="3" priority="3">
      <x:formula>$T2="MENOR_GASTO"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921687dc968493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0" hidden="0" customWidth="1"/>
  </x:cols>
  <x:sheetData>
    <x:row r="1" ht="15" hidden="0" customHeight="1">
      <x:c r="A1" s="6" t="str">
        <x:v>Campo</x:v>
      </x:c>
      <x:c r="B1" s="6" t="str">
        <x:v>Uso recomendado</x:v>
      </x:c>
    </x:row>
    <x:row r="2" ht="15" hidden="0" customHeight="1">
      <x:c r="A2" s="18" t="str">
        <x:v>accion_id</x:v>
      </x:c>
      <x:c r="B2" s="18" t="str">
        <x:v>Clave única y estable para cruzar ventas/promociones sin depender de textos largos.</x:v>
      </x:c>
    </x:row>
    <x:row r="3" ht="15" hidden="0" customHeight="1">
      <x:c r="A3" s="18" t="str">
        <x:v>tipo_accion</x:v>
      </x:c>
      <x:c r="B3" s="18" t="str">
        <x:v>DROP, ESPECIAL, PLAN_AS o VOLUMEN. Permite medir gasto por origen comercial.</x:v>
      </x:c>
    </x:row>
    <x:row r="4" ht="15" hidden="0" customHeight="1">
      <x:c r="A4" s="18" t="str">
        <x:v>canal</x:v>
      </x:c>
      <x:c r="B4" s="18" t="str">
        <x:v>Canal/cliente objetivo. Usar valores normalizados para evitar errores de match.</x:v>
      </x:c>
    </x:row>
    <x:row r="5" ht="15" hidden="0" customHeight="1">
      <x:c r="A5" s="18" t="str">
        <x:v>segmento_cliente</x:v>
      </x:c>
      <x:c r="B5" s="18" t="str">
        <x:v>Condición del cliente si aplica. Si no aplica, usar 'Todos'.</x:v>
      </x:c>
    </x:row>
    <x:row r="6" ht="15" hidden="0" customHeight="1">
      <x:c r="A6" s="18" t="str">
        <x:v>categoria</x:v>
      </x:c>
      <x:c r="B6" s="18" t="str">
        <x:v>Categoría comercial usada para matching.</x:v>
      </x:c>
    </x:row>
    <x:row r="7" ht="15" hidden="0" customHeight="1">
      <x:c r="A7" s="18" t="str">
        <x:v>productos_incluidos</x:v>
      </x:c>
      <x:c r="B7" s="18" t="str">
        <x:v>Lista normalizada de marcas/productos incluidos; separar por ';'.</x:v>
      </x:c>
    </x:row>
    <x:row r="8" ht="15" hidden="0" customHeight="1">
      <x:c r="A8" s="18" t="str">
        <x:v>productos_excluidos</x:v>
      </x:c>
      <x:c r="B8" s="18" t="str">
        <x:v>Lista de exclusiones; el motor debe chequearlas antes de aplicar una regla.</x:v>
      </x:c>
    </x:row>
    <x:row r="9" ht="15" hidden="0" customHeight="1">
      <x:c r="A9" s="18" t="str">
        <x:v>unidad_condicion</x:v>
      </x:c>
      <x:c r="B9" s="18" t="str">
        <x:v>CAJA, PACK, UNIDAD, BULTO o SIN_MINIMO.</x:v>
      </x:c>
    </x:row>
    <x:row r="10" ht="15" hidden="0" customHeight="1">
      <x:c r="A10" s="18" t="str">
        <x:v>cantidad_min / cantidad_max</x:v>
      </x:c>
      <x:c r="B10" s="18" t="str">
        <x:v>Rango de disparo de la acción. cantidad_max vacío = sin tope superior.</x:v>
      </x:c>
    </x:row>
    <x:row r="11" ht="15" hidden="0" customHeight="1">
      <x:c r="A11" s="18" t="str">
        <x:v>beneficio_tipo</x:v>
      </x:c>
      <x:c r="B11" s="18" t="str">
        <x:v>DESCUENTO o BONIFICACION.</x:v>
      </x:c>
    </x:row>
    <x:row r="12" ht="15" hidden="0" customHeight="1">
      <x:c r="A12" s="18" t="str">
        <x:v>descuento_pct</x:v>
      </x:c>
      <x:c r="B12" s="18" t="str">
        <x:v>Porcentaje en decimal. Ejemplo: 0,10 = 10%.</x:v>
      </x:c>
    </x:row>
    <x:row r="13" ht="15" hidden="0" customHeight="1">
      <x:c r="A13" s="18" t="str">
        <x:v>bonif_compra_cajas / bonif_entrega_cajas</x:v>
      </x:c>
      <x:c r="B13" s="18" t="str">
        <x:v>Para acciones 5+1 u otras bonificaciones en especie.</x:v>
      </x:c>
    </x:row>
    <x:row r="14" ht="15" hidden="0" customHeight="1">
      <x:c r="A14" s="18" t="str">
        <x:v>prioridad_regla</x:v>
      </x:c>
      <x:c r="B14" s="18" t="str">
        <x:v>Número menor = mayor prioridad. Resolver solapamientos con la regla de mayor prioridad.</x:v>
      </x:c>
    </x:row>
    <x:row r="15" ht="15" hidden="0" customHeight="1">
      <x:c r="A15" s="18" t="str">
        <x:v>requiere_validacion</x:v>
      </x:c>
      <x:c r="B15" s="18" t="str">
        <x:v>SI cuando la PPT deja ambigüedad, referencia imagen o falta maestro de productos.</x:v>
      </x:c>
    </x:row>
    <x:row r="16" ht="15" hidden="0" customHeight="1">
      <x:c r="A16" s="18" t="str">
        <x:v>fuente</x:v>
      </x:c>
      <x:c r="B16" s="18" t="str">
        <x:v>Referencia a la slide de origen de la PPT.</x:v>
      </x:c>
    </x:row>
    <x:row r="17">
      <x:c r="A17" s="18"/>
      <x:c r="B17" s="18"/>
    </x:row>
    <x:row r="18">
      <x:c r="A18" s="18"/>
      <x:c r="B18" s="18"/>
    </x:row>
    <x:row r="19">
      <x:c r="A19" s="18"/>
      <x:c r="B19" s="18"/>
    </x:row>
    <x:row r="20">
      <x:c r="A20" s="18"/>
      <x:c r="B20" s="18"/>
    </x:row>
    <x:row r="21">
      <x:c r="A21" s="18"/>
      <x:c r="B21" s="18"/>
    </x:row>
    <x:row r="22">
      <x:c r="A22" s="18"/>
      <x:c r="B22" s="18"/>
    </x:row>
    <x:row r="23">
      <x:c r="A23" s="18"/>
      <x:c r="B23" s="18"/>
    </x:row>
    <x:row r="24">
      <x:c r="A24" s="18"/>
      <x:c r="B24" s="18"/>
    </x:row>
    <x:row r="25">
      <x:c r="A25" s="18"/>
      <x:c r="B25" s="18"/>
    </x:row>
    <x:row r="26">
      <x:c r="A26" s="18"/>
      <x:c r="B26" s="18"/>
    </x:row>
    <x:row r="27">
      <x:c r="A27" s="18"/>
      <x:c r="B27" s="18"/>
    </x:row>
    <x:row r="28">
      <x:c r="A28" s="18"/>
      <x:c r="B28" s="18"/>
    </x:row>
    <x:row r="29">
      <x:c r="A29" s="18"/>
      <x:c r="B29" s="18"/>
    </x:row>
    <x:row r="30">
      <x:c r="A30" s="18"/>
      <x:c r="B30" s="18"/>
    </x:row>
    <x:row r="31">
      <x:c r="A31" s="18"/>
      <x:c r="B31" s="18"/>
    </x:row>
    <x:row r="32">
      <x:c r="A32" s="18"/>
      <x:c r="B32" s="18"/>
    </x:row>
    <x:row r="33">
      <x:c r="A33" s="18"/>
      <x:c r="B33" s="18"/>
    </x:row>
    <x:row r="34">
      <x:c r="A34" s="18"/>
      <x:c r="B34" s="18"/>
    </x:row>
    <x:row r="35">
      <x:c r="A35" s="18"/>
      <x:c r="B35" s="18"/>
    </x:row>
    <x:row r="36">
      <x:c r="A36" s="18"/>
      <x:c r="B36" s="18"/>
    </x:row>
    <x:row r="37">
      <x:c r="A37" s="18"/>
      <x:c r="B37" s="18"/>
    </x:row>
    <x:row r="38">
      <x:c r="A38" s="18"/>
      <x:c r="B38" s="18"/>
    </x:row>
    <x:row r="39">
      <x:c r="A39" s="18"/>
      <x:c r="B39" s="18"/>
    </x:row>
    <x:row r="40">
      <x:c r="A40" s="18"/>
      <x:c r="B40" s="18"/>
    </x:row>
    <x:row r="41">
      <x:c r="A41" s="18"/>
      <x:c r="B41" s="18"/>
    </x:row>
    <x:row r="42">
      <x:c r="A42" s="18"/>
      <x:c r="B42" s="18"/>
    </x:row>
    <x:row r="43">
      <x:c r="A43" s="18"/>
      <x:c r="B43" s="18"/>
    </x:row>
    <x:row r="44">
      <x:c r="A44" s="18"/>
      <x:c r="B44" s="18"/>
    </x:row>
    <x:row r="45">
      <x:c r="A45" s="18"/>
      <x:c r="B45" s="18"/>
    </x:row>
    <x:row r="46">
      <x:c r="A46" s="18"/>
      <x:c r="B46" s="18"/>
    </x:row>
    <x:row r="47">
      <x:c r="A47" s="18"/>
      <x:c r="B47" s="18"/>
    </x:row>
    <x:row r="48">
      <x:c r="A48" s="18"/>
      <x:c r="B48" s="18"/>
    </x:row>
    <x:row r="49">
      <x:c r="A49" s="18"/>
      <x:c r="B49" s="18"/>
    </x:row>
    <x:row r="50">
      <x:c r="A50" s="18"/>
      <x:c r="B50" s="18"/>
    </x:row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  <x:row r="201"/>
    <x:row r="202"/>
    <x:row r="203"/>
    <x:row r="204"/>
    <x:row r="205"/>
    <x:row r="206"/>
    <x:row r="207"/>
    <x:row r="208"/>
    <x:row r="209"/>
    <x:row r="210"/>
    <x:row r="211"/>
    <x:row r="212"/>
    <x:row r="213"/>
    <x:row r="214"/>
    <x:row r="215"/>
    <x:row r="216"/>
    <x:row r="217"/>
    <x:row r="218"/>
    <x:row r="219"/>
    <x:row r="220"/>
    <x:row r="221"/>
    <x:row r="222"/>
    <x:row r="223"/>
    <x:row r="224"/>
    <x:row r="225"/>
    <x:row r="226"/>
    <x:row r="227"/>
    <x:row r="228"/>
    <x:row r="229"/>
    <x:row r="230"/>
    <x:row r="231"/>
    <x:row r="232"/>
    <x:row r="233"/>
    <x:row r="234"/>
    <x:row r="235"/>
    <x:row r="236"/>
    <x:row r="237"/>
    <x:row r="238"/>
    <x:row r="239"/>
    <x:row r="240"/>
    <x:row r="241"/>
    <x:row r="242"/>
    <x:row r="243"/>
    <x:row r="244"/>
    <x:row r="245"/>
    <x:row r="246"/>
    <x:row r="247"/>
    <x:row r="248"/>
    <x:row r="249"/>
    <x:row r="250"/>
    <x:row r="251"/>
    <x:row r="252"/>
    <x:row r="253"/>
    <x:row r="254"/>
    <x:row r="255"/>
    <x:row r="256"/>
    <x:row r="257"/>
    <x:row r="258"/>
    <x:row r="259"/>
    <x:row r="260"/>
    <x:row r="261"/>
    <x:row r="262"/>
    <x:row r="263"/>
    <x:row r="264"/>
    <x:row r="265"/>
    <x:row r="266"/>
    <x:row r="267"/>
    <x:row r="268"/>
    <x:row r="269"/>
    <x:row r="270"/>
    <x:row r="271"/>
    <x:row r="272"/>
    <x:row r="273"/>
    <x:row r="274"/>
    <x:row r="275"/>
    <x:row r="276"/>
    <x:row r="277"/>
    <x:row r="278"/>
    <x:row r="279"/>
    <x:row r="280"/>
    <x:row r="281"/>
    <x:row r="282"/>
    <x:row r="283"/>
    <x:row r="284"/>
    <x:row r="285"/>
    <x:row r="286"/>
    <x:row r="287"/>
    <x:row r="288"/>
    <x:row r="289"/>
    <x:row r="290"/>
    <x:row r="291"/>
    <x:row r="292"/>
    <x:row r="293"/>
    <x:row r="294"/>
    <x:row r="295"/>
    <x:row r="296"/>
    <x:row r="297"/>
    <x:row r="298"/>
    <x:row r="299"/>
    <x:row r="300"/>
  </x:sheetData>
  <x:pageMargins left="0.7" right="0.7" top="0.75" bottom="0.75" header="0.3" footer="0.3"/>
  <x:tableParts count="1">
    <x:tablePart xmlns:r="http://schemas.openxmlformats.org/officeDocument/2006/relationships" r:id="R1bec16b6cf8743a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0" hidden="0" customWidth="1"/>
  </x:cols>
  <x:sheetData>
    <x:row r="1" ht="15" hidden="0" customHeight="1">
      <x:c r="A1" s="4" t="str">
        <x:v>Resumen ejecutivo</x:v>
      </x:c>
    </x:row>
    <x:row r="2" ht="15" hidden="0" customHeight="1">
      <x:c r="A2" s="18" t="str">
        <x:v>Se transformó la presentación de acciones de mayo 2026 en una tabla plana de reglas, sin celdas combinadas ni textos partidos, preparada para análisis de gasto e integración con ORBIT.</x:v>
      </x:c>
    </x:row>
    <x:row r="3" ht="15" hidden="0" customHeight="1">
      <x:c r="A3" s="18" t="str">
        <x:v>Criterio técnico</x:v>
      </x:c>
    </x:row>
    <x:row r="4" ht="15" hidden="0" customHeight="1">
      <x:c r="A4" s="18" t="str">
        <x:v>Una fila = una regla comercial aplicable. Las escalas se separan en filas distintas para evitar lógica ambigua.</x:v>
      </x:c>
    </x:row>
    <x:row r="5" ht="15" hidden="0" customHeight="1">
      <x:c r="A5" s="18" t="str">
        <x:v>Validaciones pendientes</x:v>
      </x:c>
    </x:row>
    <x:row r="6" ht="15" hidden="0" customHeight="1">
      <x:c r="A6" s="18" t="str">
        <x:v>1) Spirits importados: PPT dice 'ver imagen'; completar maestro exacto de SKUs incluidos.</x:v>
      </x:c>
    </x:row>
    <x:row r="7" ht="15" hidden="0" customHeight="1">
      <x:c r="A7" s="18" t="str">
        <x:v>2) Innovaciones '+5 bultos': quedó normalizado como mínimo 6; validar si comercialmente debe ser 5 o más.</x:v>
      </x:c>
    </x:row>
    <x:row r="8" ht="15" hidden="0" customHeight="1">
      <x:c r="A8" s="18" t="str">
        <x:v>3) VDA/VDG/ESP/SIDRA AS: hay solapamiento en 20 cajas entre 8% y 10%; se priorizó 10% por mayor descuento.</x:v>
      </x:c>
    </x:row>
    <x:row r="9" ht="15" hidden="0" customHeight="1">
      <x:c r="A9" s="18" t="str">
        <x:v>4) Planes AS: exclusiones cargadas como texto; ideal cruzarlas contra producto_activos.xlsx.</x:v>
      </x:c>
    </x:row>
    <x:row r="10" ht="15" hidden="0" customHeight="1">
      <x:c r="A10" s="18" t="str">
        <x:v>Fuente</x:v>
      </x:c>
    </x:row>
    <x:row r="11" ht="15" hidden="0" customHeight="1">
      <x:c r="A11" s="18" t="str">
        <x:v>ACCIONES MAYO 2026 (3).pptx</x:v>
      </x:c>
    </x:row>
    <x:row r="12">
      <x:c r="A12" s="18"/>
    </x:row>
    <x:row r="13">
      <x:c r="A13" s="18"/>
    </x:row>
    <x:row r="14">
      <x:c r="A14" s="18"/>
    </x:row>
    <x:row r="15">
      <x:c r="A15" s="18"/>
    </x:row>
    <x:row r="16">
      <x:c r="A16" s="18"/>
    </x:row>
    <x:row r="17">
      <x:c r="A17" s="18"/>
    </x:row>
    <x:row r="18">
      <x:c r="A18" s="18"/>
    </x:row>
    <x:row r="19">
      <x:c r="A19" s="18"/>
    </x:row>
    <x:row r="20">
      <x:c r="A20" s="18"/>
    </x:row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  <x:row r="201"/>
    <x:row r="202"/>
    <x:row r="203"/>
    <x:row r="204"/>
    <x:row r="205"/>
    <x:row r="206"/>
    <x:row r="207"/>
    <x:row r="208"/>
    <x:row r="209"/>
    <x:row r="210"/>
    <x:row r="211"/>
    <x:row r="212"/>
    <x:row r="213"/>
    <x:row r="214"/>
    <x:row r="215"/>
    <x:row r="216"/>
    <x:row r="217"/>
    <x:row r="218"/>
    <x:row r="219"/>
    <x:row r="220"/>
    <x:row r="221"/>
    <x:row r="222"/>
    <x:row r="223"/>
    <x:row r="224"/>
    <x:row r="225"/>
    <x:row r="226"/>
    <x:row r="227"/>
    <x:row r="228"/>
    <x:row r="229"/>
    <x:row r="230"/>
    <x:row r="231"/>
    <x:row r="232"/>
    <x:row r="233"/>
    <x:row r="234"/>
    <x:row r="235"/>
    <x:row r="236"/>
    <x:row r="237"/>
    <x:row r="238"/>
    <x:row r="239"/>
    <x:row r="240"/>
    <x:row r="241"/>
    <x:row r="242"/>
    <x:row r="243"/>
    <x:row r="244"/>
    <x:row r="245"/>
    <x:row r="246"/>
    <x:row r="247"/>
    <x:row r="248"/>
    <x:row r="249"/>
    <x:row r="250"/>
    <x:row r="251"/>
    <x:row r="252"/>
    <x:row r="253"/>
    <x:row r="254"/>
    <x:row r="255"/>
    <x:row r="256"/>
    <x:row r="257"/>
    <x:row r="258"/>
    <x:row r="259"/>
    <x:row r="260"/>
    <x:row r="261"/>
    <x:row r="262"/>
    <x:row r="263"/>
    <x:row r="264"/>
    <x:row r="265"/>
    <x:row r="266"/>
    <x:row r="267"/>
    <x:row r="268"/>
    <x:row r="269"/>
    <x:row r="270"/>
    <x:row r="271"/>
    <x:row r="272"/>
    <x:row r="273"/>
    <x:row r="274"/>
    <x:row r="275"/>
    <x:row r="276"/>
    <x:row r="277"/>
    <x:row r="278"/>
    <x:row r="279"/>
    <x:row r="280"/>
    <x:row r="281"/>
    <x:row r="282"/>
    <x:row r="283"/>
    <x:row r="284"/>
    <x:row r="285"/>
    <x:row r="286"/>
    <x:row r="287"/>
    <x:row r="288"/>
    <x:row r="289"/>
    <x:row r="290"/>
    <x:row r="291"/>
    <x:row r="292"/>
    <x:row r="293"/>
    <x:row r="294"/>
    <x:row r="295"/>
    <x:row r="296"/>
    <x:row r="297"/>
    <x:row r="298"/>
    <x:row r="299"/>
    <x:row r="300"/>
  </x:sheetData>
  <x:pageMargins left="0.7" right="0.7" top="0.75" bottom="0.75" header="0.3" footer="0.3"/>
</x:worksheet>
</file>