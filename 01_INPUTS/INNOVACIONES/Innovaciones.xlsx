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Orbit\MATINAL_PENAFLOR\01_INPUTS\INNOVACIONES\"/>
    </mc:Choice>
  </mc:AlternateContent>
  <xr:revisionPtr revIDLastSave="0" documentId="8_{6C547AE2-44F8-4559-B494-0EDD7303189C}" xr6:coauthVersionLast="47" xr6:coauthVersionMax="47" xr10:uidLastSave="{00000000-0000-0000-0000-000000000000}"/>
  <bookViews>
    <workbookView xWindow="-120" yWindow="-120" windowWidth="20730" windowHeight="11160" xr2:uid="{FCB71DF2-6BE0-4E7A-B8F3-57E16F156328}"/>
  </bookViews>
  <sheets>
    <sheet name="Cuadro Inov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5" i="2" l="1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K35" i="2"/>
  <c r="AG5" i="2"/>
  <c r="AH5" i="2" s="1"/>
</calcChain>
</file>

<file path=xl/sharedStrings.xml><?xml version="1.0" encoding="utf-8"?>
<sst xmlns="http://schemas.openxmlformats.org/spreadsheetml/2006/main" count="539" uniqueCount="93">
  <si>
    <t>000000080094 - NC SPARK EXTRA BRUT LATA 4X6X355</t>
  </si>
  <si>
    <t>000000074813 - DADA EXTRA BRUT 6X750</t>
  </si>
  <si>
    <t>000000014619 - FRIZZE BUBBLE MOOD 6X1000</t>
  </si>
  <si>
    <t>000000074830 - DADA SIDRA 6X750</t>
  </si>
  <si>
    <t>000000030139 - GORDON'S TROPICAL FRUITS 6x700</t>
  </si>
  <si>
    <t>000000074749 - INTOCABLES DOUBLE OAK 6x750</t>
  </si>
  <si>
    <t>000000042376 - DON DAVID RED BLEND 6X750</t>
  </si>
  <si>
    <t>000000074814 - CAZADOR MALBEC 6X750</t>
  </si>
  <si>
    <t>000000074815 - CAZADOR CAB. SAU 6X750</t>
  </si>
  <si>
    <t>000000074816 - CAZADOR BLANCO DULCE 6X750</t>
  </si>
  <si>
    <t>000000074827 - ALMA MORA BLANCO DULCE LOW    6X750</t>
  </si>
  <si>
    <t>000000074840 - TRAPICHE DULCE COSECHA TINTO 6X750</t>
  </si>
  <si>
    <t>000000074786 - EL BAUTISMO CABERNET 6X750</t>
  </si>
  <si>
    <t>PYP</t>
  </si>
  <si>
    <t>PYP - 172</t>
  </si>
  <si>
    <t>25 DE MAYO ESQ 1 DE MAYO 0</t>
  </si>
  <si>
    <t>PYP - 309</t>
  </si>
  <si>
    <t>PYP - 370</t>
  </si>
  <si>
    <t>SAN MARTIN 1025</t>
  </si>
  <si>
    <t>PYP - 390</t>
  </si>
  <si>
    <t>PYP - 519</t>
  </si>
  <si>
    <t>PYP - 538</t>
  </si>
  <si>
    <t>PYP - 596</t>
  </si>
  <si>
    <t>LAS MALVINAS 1232</t>
  </si>
  <si>
    <t>PYP - 997</t>
  </si>
  <si>
    <t>AV DE MAYO 665</t>
  </si>
  <si>
    <t>PYP - 1006</t>
  </si>
  <si>
    <t>CORDOBA 35</t>
  </si>
  <si>
    <t>PYP - 1089</t>
  </si>
  <si>
    <t>PYP - 1178</t>
  </si>
  <si>
    <t>BV CORDOBA 249</t>
  </si>
  <si>
    <t>PYP - 2211</t>
  </si>
  <si>
    <t>PYP - 2353</t>
  </si>
  <si>
    <t>PYP - 2357</t>
  </si>
  <si>
    <t>PYP - 2410</t>
  </si>
  <si>
    <t>PYP - 2689</t>
  </si>
  <si>
    <t>PYP - 7219</t>
  </si>
  <si>
    <t>PYP - 8010</t>
  </si>
  <si>
    <t>PYP - 8125</t>
  </si>
  <si>
    <t>17 DE OCTUBRE 630</t>
  </si>
  <si>
    <t>PYP - 8139</t>
  </si>
  <si>
    <t>PYP - 8230</t>
  </si>
  <si>
    <t>25 DE MAYO 75</t>
  </si>
  <si>
    <t>PYP - 30006</t>
  </si>
  <si>
    <t>SALTA 2353</t>
  </si>
  <si>
    <t>PYP - 30011</t>
  </si>
  <si>
    <t>PYP - 30013</t>
  </si>
  <si>
    <t>PYP - 30014</t>
  </si>
  <si>
    <t>PYP - 30033</t>
  </si>
  <si>
    <t>URQUIZA 962</t>
  </si>
  <si>
    <t>PYP - 30044</t>
  </si>
  <si>
    <t>PYP - 30063</t>
  </si>
  <si>
    <t>PLANES AS</t>
  </si>
  <si>
    <t>Si</t>
  </si>
  <si>
    <t>No</t>
  </si>
  <si>
    <t>Seleccionar en CUBO post lanzamiento</t>
  </si>
  <si>
    <t xml:space="preserve">Innovaciones </t>
  </si>
  <si>
    <t xml:space="preserve">% Innovaciones </t>
  </si>
  <si>
    <t>DISTRIS</t>
  </si>
  <si>
    <t xml:space="preserve">N de PDV </t>
  </si>
  <si>
    <t xml:space="preserve">Promedio de Innovaciones </t>
  </si>
  <si>
    <t xml:space="preserve">Concatenado </t>
  </si>
  <si>
    <t>Cod C</t>
  </si>
  <si>
    <t xml:space="preserve">Plan AS </t>
  </si>
  <si>
    <t>Distri</t>
  </si>
  <si>
    <t xml:space="preserve">Domicilio </t>
  </si>
  <si>
    <t>Antares P 770</t>
  </si>
  <si>
    <t>Antares P 330</t>
  </si>
  <si>
    <t xml:space="preserve">Frizze M </t>
  </si>
  <si>
    <t>Antares XPA</t>
  </si>
  <si>
    <t>000000044396 - BLEND DE EXTREMOS PN PN 6X750</t>
  </si>
  <si>
    <t>000000014425 - TERMIDOR TRAD B-D SLIM 12X1L</t>
  </si>
  <si>
    <t xml:space="preserve">porcentaje compra Innovaciones  </t>
  </si>
  <si>
    <t>Inicial</t>
  </si>
  <si>
    <t>AV. 9 DE SEPTIEMBRE 1979</t>
  </si>
  <si>
    <t>SAENZ PEÑA 770</t>
  </si>
  <si>
    <t>Silver</t>
  </si>
  <si>
    <t>SAN MARTÍN 231</t>
  </si>
  <si>
    <t>SAN MARTIN 652</t>
  </si>
  <si>
    <t>BELGRANO 370</t>
  </si>
  <si>
    <t>Av. de la Universidad 1973</t>
  </si>
  <si>
    <t>AV 9 DE SEPTIEMBRE 359</t>
  </si>
  <si>
    <t>BV ROCA 2950</t>
  </si>
  <si>
    <t>Independencia 1211</t>
  </si>
  <si>
    <t>ILLIA ESQ COLON 0</t>
  </si>
  <si>
    <t>CURA BROCHERO ESQ JUAN JOSE PASO</t>
  </si>
  <si>
    <t>CALLE PUB S/N ENTRE RUTA 14 Y U.CASTELLANO</t>
  </si>
  <si>
    <t>RUTA 14 S/N - LOS HORNILLOS</t>
  </si>
  <si>
    <t>COLON 150 P/D:</t>
  </si>
  <si>
    <t>BELGRANO 601 P/D:</t>
  </si>
  <si>
    <t>CORDOBA 859</t>
  </si>
  <si>
    <t>CASEROS 1024</t>
  </si>
  <si>
    <t>LINIERS 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</si>
</sst>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9" fontId="0" fillId="0" borderId="0" xfId="1" applyFont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5" borderId="4" xfId="0" applyFont="1" applyFill="1" applyBorder="1"/>
    <xf numFmtId="0" fontId="3" fillId="5" borderId="2" xfId="0" applyFont="1" applyFill="1" applyBorder="1"/>
    <xf numFmtId="0" fontId="3" fillId="0" borderId="0" xfId="0" applyFont="1"/>
    <xf numFmtId="0" fontId="2" fillId="3" borderId="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9" fontId="0" fillId="0" borderId="0" xfId="1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2722-87B5-4F15-841E-E9DF574D5BEE}">
  <dimension ref="A1:AI35"/>
  <sheetViews>
    <sheetView tabSelected="1" topLeftCell="A5" zoomScale="60" zoomScaleNormal="60" workbookViewId="0">
      <selection activeCell="A5" sqref="A1:XFD1048576"/>
    </sheetView>
  </sheetViews>
  <sheetFormatPr baseColWidth="10" defaultColWidth="12.140625" defaultRowHeight="15" x14ac:dyDescent="0.25"/>
  <cols>
    <col min="1" max="1" width="14" bestFit="1" customWidth="1"/>
    <col min="2" max="2" width="19" bestFit="1" customWidth="1"/>
    <col min="3" max="3" width="9.7109375" bestFit="1" customWidth="1"/>
    <col min="4" max="4" width="12.5703125" bestFit="1" customWidth="1"/>
    <col min="5" max="5" width="8.7109375" bestFit="1" customWidth="1"/>
    <col min="6" max="6" width="56.140625" bestFit="1" customWidth="1"/>
    <col min="7" max="8" width="19.140625" bestFit="1" customWidth="1"/>
    <col min="9" max="9" width="13" bestFit="1" customWidth="1"/>
    <col min="10" max="10" width="17.7109375" bestFit="1" customWidth="1"/>
    <col min="11" max="11" width="52.28515625" bestFit="1" customWidth="1"/>
    <col min="12" max="12" width="68.28515625" bestFit="1" customWidth="1"/>
    <col min="13" max="13" width="57.28515625" bestFit="1" customWidth="1"/>
    <col min="14" max="14" width="44.7109375" bestFit="1" customWidth="1"/>
    <col min="15" max="15" width="63.7109375" bestFit="1" customWidth="1"/>
    <col min="16" max="16" width="59.85546875" bestFit="1" customWidth="1"/>
    <col min="17" max="17" width="63.7109375" bestFit="1" customWidth="1"/>
    <col min="18" max="18" width="60.140625" bestFit="1" customWidth="1"/>
    <col min="19" max="19" width="57.5703125" bestFit="1" customWidth="1"/>
    <col min="20" max="20" width="51.85546875" bestFit="1" customWidth="1"/>
    <col min="21" max="21" width="53" bestFit="1" customWidth="1"/>
    <col min="22" max="22" width="60.140625" bestFit="1" customWidth="1"/>
    <col min="23" max="23" width="71.5703125" bestFit="1" customWidth="1"/>
    <col min="24" max="24" width="70.140625" bestFit="1" customWidth="1"/>
    <col min="25" max="25" width="59.42578125" bestFit="1" customWidth="1"/>
    <col min="28" max="28" width="44" bestFit="1" customWidth="1"/>
    <col min="32" max="32" width="12.28515625" bestFit="1" customWidth="1"/>
    <col min="33" max="33" width="14.42578125" bestFit="1" customWidth="1"/>
    <col min="34" max="34" width="35.85546875" bestFit="1" customWidth="1"/>
  </cols>
  <sheetData>
    <row r="1" spans="1:35" x14ac:dyDescent="0.25">
      <c r="B1" s="3" t="s">
        <v>52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 t="s">
        <v>53</v>
      </c>
      <c r="AB1" s="5"/>
      <c r="AF1" s="4"/>
    </row>
    <row r="2" spans="1:35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 t="s">
        <v>54</v>
      </c>
      <c r="AB2" s="5"/>
      <c r="AE2" s="4"/>
      <c r="AF2" s="4"/>
    </row>
    <row r="3" spans="1:35" ht="15.75" thickBot="1" x14ac:dyDescent="0.3">
      <c r="B3" s="4"/>
      <c r="C3" s="4"/>
      <c r="D3" s="4"/>
      <c r="E3" s="4"/>
      <c r="F3" s="4"/>
      <c r="G3" s="19" t="s">
        <v>55</v>
      </c>
      <c r="H3" s="19"/>
      <c r="I3" s="19"/>
      <c r="J3" s="19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AB3" s="5"/>
      <c r="AE3" s="4"/>
      <c r="AF3" s="4"/>
    </row>
    <row r="4" spans="1:35" ht="15.75" thickBot="1" x14ac:dyDescent="0.3">
      <c r="A4" s="1"/>
      <c r="B4" s="6"/>
      <c r="C4" s="6"/>
      <c r="D4" s="6"/>
      <c r="E4" s="6"/>
      <c r="F4" s="6"/>
      <c r="G4" s="7"/>
      <c r="H4" s="7"/>
      <c r="I4" s="7"/>
      <c r="J4" s="7"/>
      <c r="K4" s="7"/>
      <c r="L4" s="8" t="s">
        <v>56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B4" s="9" t="s">
        <v>57</v>
      </c>
      <c r="AE4" s="4"/>
      <c r="AF4" s="9" t="s">
        <v>58</v>
      </c>
      <c r="AG4" s="9" t="s">
        <v>59</v>
      </c>
      <c r="AH4" s="9" t="s">
        <v>60</v>
      </c>
    </row>
    <row r="5" spans="1:35" x14ac:dyDescent="0.25">
      <c r="B5" s="10" t="s">
        <v>61</v>
      </c>
      <c r="C5" s="10" t="s">
        <v>62</v>
      </c>
      <c r="D5" s="10" t="s">
        <v>63</v>
      </c>
      <c r="E5" s="10" t="s">
        <v>64</v>
      </c>
      <c r="F5" s="10" t="s">
        <v>65</v>
      </c>
      <c r="G5" s="11" t="s">
        <v>66</v>
      </c>
      <c r="H5" s="11" t="s">
        <v>67</v>
      </c>
      <c r="I5" s="11" t="s">
        <v>68</v>
      </c>
      <c r="J5" s="11" t="s">
        <v>69</v>
      </c>
      <c r="K5" s="12" t="s">
        <v>1</v>
      </c>
      <c r="L5" s="13" t="s">
        <v>0</v>
      </c>
      <c r="M5" s="13" t="s">
        <v>2</v>
      </c>
      <c r="N5" s="13" t="s">
        <v>3</v>
      </c>
      <c r="O5" s="13" t="s">
        <v>4</v>
      </c>
      <c r="P5" s="13" t="s">
        <v>5</v>
      </c>
      <c r="Q5" s="13" t="s">
        <v>70</v>
      </c>
      <c r="R5" s="13" t="s">
        <v>71</v>
      </c>
      <c r="S5" s="13" t="s">
        <v>6</v>
      </c>
      <c r="T5" s="13" t="s">
        <v>7</v>
      </c>
      <c r="U5" s="13" t="s">
        <v>8</v>
      </c>
      <c r="V5" s="13" t="s">
        <v>9</v>
      </c>
      <c r="W5" s="13" t="s">
        <v>10</v>
      </c>
      <c r="X5" s="12" t="s">
        <v>11</v>
      </c>
      <c r="Y5" s="13" t="s">
        <v>12</v>
      </c>
      <c r="Z5" s="13"/>
      <c r="AA5" s="14"/>
      <c r="AB5" s="15" t="s">
        <v>72</v>
      </c>
      <c r="AE5" s="4"/>
      <c r="AF5" s="4" t="s">
        <v>13</v>
      </c>
      <c r="AG5">
        <f t="shared" ref="AG5" si="0">COUNTIF(E:E,AF5)</f>
        <v>28</v>
      </c>
      <c r="AH5" s="2">
        <f t="shared" ref="AH5" si="1">SUMIF(E:E,AF5,AB:AB)/AG5</f>
        <v>0.65476190476190477</v>
      </c>
      <c r="AI5" s="2"/>
    </row>
    <row r="6" spans="1:35" x14ac:dyDescent="0.25">
      <c r="A6" s="1" t="s">
        <v>46</v>
      </c>
      <c r="B6" s="16" t="s">
        <v>46</v>
      </c>
      <c r="C6" s="4">
        <v>30013</v>
      </c>
      <c r="D6" s="4" t="s">
        <v>73</v>
      </c>
      <c r="E6" s="4" t="s">
        <v>13</v>
      </c>
      <c r="F6" s="4" t="s">
        <v>74</v>
      </c>
      <c r="G6" s="4"/>
      <c r="H6" s="4"/>
      <c r="I6" s="4"/>
      <c r="J6" s="4"/>
      <c r="K6" s="4" t="s">
        <v>53</v>
      </c>
      <c r="L6" s="4" t="s">
        <v>54</v>
      </c>
      <c r="M6" s="4" t="s">
        <v>53</v>
      </c>
      <c r="N6" s="4" t="s">
        <v>53</v>
      </c>
      <c r="O6" s="4" t="s">
        <v>53</v>
      </c>
      <c r="P6" s="4" t="s">
        <v>53</v>
      </c>
      <c r="Q6" s="4" t="e">
        <v>#N/A</v>
      </c>
      <c r="R6" s="4" t="e">
        <v>#N/A</v>
      </c>
      <c r="S6" s="4" t="s">
        <v>53</v>
      </c>
      <c r="T6" s="4" t="s">
        <v>53</v>
      </c>
      <c r="U6" s="4" t="s">
        <v>53</v>
      </c>
      <c r="V6" s="4" t="s">
        <v>53</v>
      </c>
      <c r="W6" s="4" t="s">
        <v>53</v>
      </c>
      <c r="X6" s="4" t="s">
        <v>53</v>
      </c>
      <c r="Y6" s="4" t="s">
        <v>53</v>
      </c>
      <c r="AB6" s="17">
        <v>0.8</v>
      </c>
      <c r="AE6" s="4"/>
      <c r="AF6" s="5"/>
    </row>
    <row r="7" spans="1:35" x14ac:dyDescent="0.25">
      <c r="A7" s="1" t="s">
        <v>47</v>
      </c>
      <c r="B7" s="16" t="s">
        <v>47</v>
      </c>
      <c r="C7" s="4">
        <v>30014</v>
      </c>
      <c r="D7" s="4" t="s">
        <v>73</v>
      </c>
      <c r="E7" s="4" t="s">
        <v>13</v>
      </c>
      <c r="F7" s="4" t="s">
        <v>75</v>
      </c>
      <c r="G7" s="4"/>
      <c r="H7" s="4"/>
      <c r="I7" s="4"/>
      <c r="J7" s="4"/>
      <c r="K7" s="4" t="s">
        <v>53</v>
      </c>
      <c r="L7" s="4" t="s">
        <v>54</v>
      </c>
      <c r="M7" s="4" t="s">
        <v>53</v>
      </c>
      <c r="N7" s="4" t="s">
        <v>53</v>
      </c>
      <c r="O7" s="4" t="s">
        <v>53</v>
      </c>
      <c r="P7" s="4" t="s">
        <v>53</v>
      </c>
      <c r="Q7" s="4" t="e">
        <v>#N/A</v>
      </c>
      <c r="R7" s="4" t="e">
        <v>#N/A</v>
      </c>
      <c r="S7" s="4" t="s">
        <v>53</v>
      </c>
      <c r="T7" s="4" t="s">
        <v>53</v>
      </c>
      <c r="U7" s="4" t="s">
        <v>53</v>
      </c>
      <c r="V7" s="4" t="s">
        <v>53</v>
      </c>
      <c r="W7" s="4" t="s">
        <v>53</v>
      </c>
      <c r="X7" s="4" t="s">
        <v>53</v>
      </c>
      <c r="Y7" s="4" t="s">
        <v>53</v>
      </c>
      <c r="AB7" s="17">
        <v>0.8</v>
      </c>
      <c r="AF7" s="5"/>
    </row>
    <row r="8" spans="1:35" x14ac:dyDescent="0.25">
      <c r="A8" s="1" t="s">
        <v>48</v>
      </c>
      <c r="B8" s="16" t="s">
        <v>48</v>
      </c>
      <c r="C8" s="4">
        <v>30033</v>
      </c>
      <c r="D8" s="4" t="s">
        <v>76</v>
      </c>
      <c r="E8" s="4" t="s">
        <v>13</v>
      </c>
      <c r="F8" s="4" t="s">
        <v>49</v>
      </c>
      <c r="G8" s="4"/>
      <c r="H8" s="4"/>
      <c r="I8" s="4"/>
      <c r="J8" s="4"/>
      <c r="K8" s="4" t="s">
        <v>53</v>
      </c>
      <c r="L8" s="4" t="s">
        <v>53</v>
      </c>
      <c r="M8" s="4" t="s">
        <v>54</v>
      </c>
      <c r="N8" s="4" t="s">
        <v>53</v>
      </c>
      <c r="O8" s="4" t="s">
        <v>53</v>
      </c>
      <c r="P8" s="4" t="s">
        <v>53</v>
      </c>
      <c r="Q8" s="4" t="e">
        <v>#N/A</v>
      </c>
      <c r="R8" s="4" t="e">
        <v>#N/A</v>
      </c>
      <c r="S8" s="4" t="s">
        <v>53</v>
      </c>
      <c r="T8" s="4" t="s">
        <v>53</v>
      </c>
      <c r="U8" s="4" t="s">
        <v>53</v>
      </c>
      <c r="V8" s="4" t="s">
        <v>53</v>
      </c>
      <c r="W8" s="4" t="s">
        <v>53</v>
      </c>
      <c r="X8" s="4" t="s">
        <v>53</v>
      </c>
      <c r="Y8" s="4" t="s">
        <v>53</v>
      </c>
      <c r="AB8" s="17">
        <v>0.8</v>
      </c>
      <c r="AF8" s="5"/>
    </row>
    <row r="9" spans="1:35" x14ac:dyDescent="0.25">
      <c r="A9" s="1" t="s">
        <v>34</v>
      </c>
      <c r="B9" s="16" t="s">
        <v>34</v>
      </c>
      <c r="C9" s="4">
        <v>2410</v>
      </c>
      <c r="D9" s="4" t="s">
        <v>73</v>
      </c>
      <c r="E9" s="4" t="s">
        <v>13</v>
      </c>
      <c r="F9" s="4" t="s">
        <v>77</v>
      </c>
      <c r="G9" s="4"/>
      <c r="H9" s="4"/>
      <c r="I9" s="4"/>
      <c r="J9" s="4"/>
      <c r="K9" s="4" t="s">
        <v>53</v>
      </c>
      <c r="L9" s="4" t="s">
        <v>53</v>
      </c>
      <c r="M9" s="4" t="s">
        <v>53</v>
      </c>
      <c r="N9" s="4" t="s">
        <v>53</v>
      </c>
      <c r="O9" s="4" t="s">
        <v>53</v>
      </c>
      <c r="P9" s="4" t="s">
        <v>53</v>
      </c>
      <c r="Q9" s="4" t="e">
        <v>#N/A</v>
      </c>
      <c r="R9" s="4" t="e">
        <v>#N/A</v>
      </c>
      <c r="S9" s="4" t="s">
        <v>53</v>
      </c>
      <c r="T9" s="4" t="s">
        <v>53</v>
      </c>
      <c r="U9" s="4" t="s">
        <v>54</v>
      </c>
      <c r="V9" s="4" t="s">
        <v>54</v>
      </c>
      <c r="W9" s="4" t="s">
        <v>53</v>
      </c>
      <c r="X9" s="4" t="s">
        <v>53</v>
      </c>
      <c r="Y9" s="4" t="s">
        <v>53</v>
      </c>
      <c r="AB9" s="17">
        <v>0.73333333333333328</v>
      </c>
      <c r="AF9" s="5"/>
    </row>
    <row r="10" spans="1:35" x14ac:dyDescent="0.25">
      <c r="A10" s="1" t="s">
        <v>17</v>
      </c>
      <c r="B10" s="16" t="s">
        <v>17</v>
      </c>
      <c r="C10" s="4">
        <v>370</v>
      </c>
      <c r="D10" s="4" t="s">
        <v>73</v>
      </c>
      <c r="E10" s="4" t="s">
        <v>13</v>
      </c>
      <c r="F10" s="4" t="s">
        <v>18</v>
      </c>
      <c r="G10" s="4"/>
      <c r="H10" s="4"/>
      <c r="I10" s="4"/>
      <c r="J10" s="4"/>
      <c r="K10" s="4" t="s">
        <v>53</v>
      </c>
      <c r="L10" s="4" t="s">
        <v>53</v>
      </c>
      <c r="M10" s="4" t="s">
        <v>53</v>
      </c>
      <c r="N10" s="4" t="s">
        <v>53</v>
      </c>
      <c r="O10" s="4" t="s">
        <v>53</v>
      </c>
      <c r="P10" s="4" t="s">
        <v>53</v>
      </c>
      <c r="Q10" s="4" t="e">
        <v>#N/A</v>
      </c>
      <c r="R10" s="4" t="e">
        <v>#N/A</v>
      </c>
      <c r="S10" s="4" t="s">
        <v>53</v>
      </c>
      <c r="T10" s="4" t="s">
        <v>53</v>
      </c>
      <c r="U10" s="4" t="s">
        <v>53</v>
      </c>
      <c r="V10" s="4" t="s">
        <v>53</v>
      </c>
      <c r="W10" s="4" t="s">
        <v>53</v>
      </c>
      <c r="X10" s="4" t="s">
        <v>54</v>
      </c>
      <c r="Y10" s="4" t="s">
        <v>53</v>
      </c>
      <c r="AB10" s="17">
        <v>0.8</v>
      </c>
      <c r="AF10" s="5"/>
    </row>
    <row r="11" spans="1:35" x14ac:dyDescent="0.25">
      <c r="A11" s="1" t="s">
        <v>14</v>
      </c>
      <c r="B11" s="16" t="s">
        <v>14</v>
      </c>
      <c r="C11" s="4">
        <v>172</v>
      </c>
      <c r="D11" s="4" t="s">
        <v>76</v>
      </c>
      <c r="E11" s="4" t="s">
        <v>13</v>
      </c>
      <c r="F11" s="4" t="s">
        <v>15</v>
      </c>
      <c r="G11" s="4"/>
      <c r="H11" s="4"/>
      <c r="I11" s="4"/>
      <c r="J11" s="4"/>
      <c r="K11" s="4" t="s">
        <v>53</v>
      </c>
      <c r="L11" s="4" t="s">
        <v>53</v>
      </c>
      <c r="M11" s="4" t="s">
        <v>53</v>
      </c>
      <c r="N11" s="4" t="s">
        <v>53</v>
      </c>
      <c r="O11" s="4" t="s">
        <v>53</v>
      </c>
      <c r="P11" s="4" t="s">
        <v>54</v>
      </c>
      <c r="Q11" s="4" t="e">
        <v>#N/A</v>
      </c>
      <c r="R11" s="4" t="e">
        <v>#N/A</v>
      </c>
      <c r="S11" s="4" t="s">
        <v>54</v>
      </c>
      <c r="T11" s="4" t="s">
        <v>53</v>
      </c>
      <c r="U11" s="4" t="s">
        <v>53</v>
      </c>
      <c r="V11" s="4" t="s">
        <v>54</v>
      </c>
      <c r="W11" s="4" t="s">
        <v>53</v>
      </c>
      <c r="X11" s="4" t="s">
        <v>53</v>
      </c>
      <c r="Y11" s="4" t="s">
        <v>53</v>
      </c>
      <c r="AB11" s="17">
        <v>0.66666666666666663</v>
      </c>
      <c r="AF11" s="5"/>
    </row>
    <row r="12" spans="1:35" x14ac:dyDescent="0.25">
      <c r="A12" s="1" t="s">
        <v>31</v>
      </c>
      <c r="B12" s="16" t="s">
        <v>31</v>
      </c>
      <c r="C12" s="4">
        <v>2211</v>
      </c>
      <c r="D12" s="4" t="s">
        <v>73</v>
      </c>
      <c r="E12" s="4" t="s">
        <v>13</v>
      </c>
      <c r="F12" s="4" t="s">
        <v>78</v>
      </c>
      <c r="G12" s="4"/>
      <c r="H12" s="4"/>
      <c r="I12" s="4"/>
      <c r="J12" s="4"/>
      <c r="K12" s="4" t="s">
        <v>54</v>
      </c>
      <c r="L12" s="4" t="s">
        <v>53</v>
      </c>
      <c r="M12" s="4" t="s">
        <v>53</v>
      </c>
      <c r="N12" s="4" t="s">
        <v>54</v>
      </c>
      <c r="O12" s="4" t="s">
        <v>53</v>
      </c>
      <c r="P12" s="4" t="s">
        <v>53</v>
      </c>
      <c r="Q12" s="4" t="e">
        <v>#N/A</v>
      </c>
      <c r="R12" s="4" t="e">
        <v>#N/A</v>
      </c>
      <c r="S12" s="4" t="s">
        <v>53</v>
      </c>
      <c r="T12" s="4" t="s">
        <v>53</v>
      </c>
      <c r="U12" s="4" t="s">
        <v>54</v>
      </c>
      <c r="V12" s="4" t="s">
        <v>54</v>
      </c>
      <c r="W12" s="4" t="s">
        <v>53</v>
      </c>
      <c r="X12" s="4" t="s">
        <v>53</v>
      </c>
      <c r="Y12" s="4" t="s">
        <v>53</v>
      </c>
      <c r="AB12" s="17">
        <v>0.6</v>
      </c>
      <c r="AF12" s="5"/>
    </row>
    <row r="13" spans="1:35" x14ac:dyDescent="0.25">
      <c r="A13" s="1" t="s">
        <v>38</v>
      </c>
      <c r="B13" s="16" t="s">
        <v>38</v>
      </c>
      <c r="C13" s="4">
        <v>8125</v>
      </c>
      <c r="D13" s="4" t="s">
        <v>73</v>
      </c>
      <c r="E13" s="4" t="s">
        <v>13</v>
      </c>
      <c r="F13" s="4" t="s">
        <v>39</v>
      </c>
      <c r="G13" s="4"/>
      <c r="H13" s="4"/>
      <c r="I13" s="4"/>
      <c r="J13" s="4"/>
      <c r="K13" s="4" t="s">
        <v>54</v>
      </c>
      <c r="L13" s="4" t="s">
        <v>54</v>
      </c>
      <c r="M13" s="4" t="s">
        <v>53</v>
      </c>
      <c r="N13" s="4" t="s">
        <v>54</v>
      </c>
      <c r="O13" s="4" t="s">
        <v>53</v>
      </c>
      <c r="P13" s="4" t="s">
        <v>54</v>
      </c>
      <c r="Q13" s="4" t="e">
        <v>#N/A</v>
      </c>
      <c r="R13" s="4" t="e">
        <v>#N/A</v>
      </c>
      <c r="S13" s="4" t="s">
        <v>54</v>
      </c>
      <c r="T13" s="4" t="s">
        <v>54</v>
      </c>
      <c r="U13" s="4" t="s">
        <v>54</v>
      </c>
      <c r="V13" s="4" t="s">
        <v>54</v>
      </c>
      <c r="W13" s="4" t="s">
        <v>54</v>
      </c>
      <c r="X13" s="4" t="s">
        <v>53</v>
      </c>
      <c r="Y13" s="4" t="s">
        <v>54</v>
      </c>
      <c r="AB13" s="17">
        <v>0.2</v>
      </c>
      <c r="AF13" s="5"/>
    </row>
    <row r="14" spans="1:35" x14ac:dyDescent="0.25">
      <c r="A14" s="1" t="s">
        <v>51</v>
      </c>
      <c r="B14" s="16" t="s">
        <v>51</v>
      </c>
      <c r="C14" s="4">
        <v>30063</v>
      </c>
      <c r="D14" s="4" t="s">
        <v>73</v>
      </c>
      <c r="E14" s="4" t="s">
        <v>13</v>
      </c>
      <c r="F14" s="4" t="s">
        <v>79</v>
      </c>
      <c r="G14" s="4"/>
      <c r="H14" s="4"/>
      <c r="I14" s="4"/>
      <c r="J14" s="4"/>
      <c r="K14" s="4" t="s">
        <v>53</v>
      </c>
      <c r="L14" s="4" t="s">
        <v>53</v>
      </c>
      <c r="M14" s="4" t="s">
        <v>53</v>
      </c>
      <c r="N14" s="4" t="s">
        <v>53</v>
      </c>
      <c r="O14" s="4" t="s">
        <v>53</v>
      </c>
      <c r="P14" s="4" t="s">
        <v>54</v>
      </c>
      <c r="Q14" s="4" t="e">
        <v>#N/A</v>
      </c>
      <c r="R14" s="4" t="e">
        <v>#N/A</v>
      </c>
      <c r="S14" s="4" t="s">
        <v>53</v>
      </c>
      <c r="T14" s="4" t="s">
        <v>53</v>
      </c>
      <c r="U14" s="4" t="s">
        <v>53</v>
      </c>
      <c r="V14" s="4" t="s">
        <v>53</v>
      </c>
      <c r="W14" s="4" t="s">
        <v>53</v>
      </c>
      <c r="X14" s="4" t="s">
        <v>53</v>
      </c>
      <c r="Y14" s="4" t="s">
        <v>53</v>
      </c>
      <c r="AB14" s="17">
        <v>0.8</v>
      </c>
      <c r="AF14" s="5"/>
    </row>
    <row r="15" spans="1:35" x14ac:dyDescent="0.25">
      <c r="A15" s="1" t="s">
        <v>16</v>
      </c>
      <c r="B15" s="16" t="s">
        <v>16</v>
      </c>
      <c r="C15" s="4">
        <v>309</v>
      </c>
      <c r="D15" s="4" t="s">
        <v>73</v>
      </c>
      <c r="E15" s="4" t="s">
        <v>13</v>
      </c>
      <c r="F15" s="4" t="s">
        <v>80</v>
      </c>
      <c r="G15" s="4"/>
      <c r="H15" s="4"/>
      <c r="I15" s="4"/>
      <c r="J15" s="4"/>
      <c r="K15" s="4" t="s">
        <v>53</v>
      </c>
      <c r="L15" s="4" t="s">
        <v>53</v>
      </c>
      <c r="M15" s="4" t="s">
        <v>53</v>
      </c>
      <c r="N15" s="4" t="s">
        <v>53</v>
      </c>
      <c r="O15" s="4" t="s">
        <v>53</v>
      </c>
      <c r="P15" s="4" t="s">
        <v>53</v>
      </c>
      <c r="Q15" s="4" t="e">
        <v>#N/A</v>
      </c>
      <c r="R15" s="4" t="e">
        <v>#N/A</v>
      </c>
      <c r="S15" s="4" t="s">
        <v>53</v>
      </c>
      <c r="T15" s="4" t="s">
        <v>53</v>
      </c>
      <c r="U15" s="4" t="s">
        <v>53</v>
      </c>
      <c r="V15" s="4" t="s">
        <v>53</v>
      </c>
      <c r="W15" s="4" t="s">
        <v>53</v>
      </c>
      <c r="X15" s="4" t="s">
        <v>53</v>
      </c>
      <c r="Y15" s="4" t="s">
        <v>53</v>
      </c>
      <c r="AB15" s="17">
        <v>0.8666666666666667</v>
      </c>
      <c r="AF15" s="5"/>
    </row>
    <row r="16" spans="1:35" x14ac:dyDescent="0.25">
      <c r="A16" s="1" t="s">
        <v>21</v>
      </c>
      <c r="B16" s="16" t="s">
        <v>21</v>
      </c>
      <c r="C16" s="4">
        <v>538</v>
      </c>
      <c r="D16" s="4" t="s">
        <v>73</v>
      </c>
      <c r="E16" s="4" t="s">
        <v>13</v>
      </c>
      <c r="F16" s="4" t="s">
        <v>81</v>
      </c>
      <c r="G16" s="4"/>
      <c r="H16" s="4"/>
      <c r="I16" s="4"/>
      <c r="J16" s="4"/>
      <c r="K16" s="4" t="s">
        <v>53</v>
      </c>
      <c r="L16" s="4" t="s">
        <v>54</v>
      </c>
      <c r="M16" s="4" t="s">
        <v>53</v>
      </c>
      <c r="N16" s="4" t="s">
        <v>53</v>
      </c>
      <c r="O16" s="4" t="s">
        <v>53</v>
      </c>
      <c r="P16" s="4" t="s">
        <v>54</v>
      </c>
      <c r="Q16" s="4" t="e">
        <v>#N/A</v>
      </c>
      <c r="R16" s="4" t="e">
        <v>#N/A</v>
      </c>
      <c r="S16" s="4" t="s">
        <v>53</v>
      </c>
      <c r="T16" s="4" t="s">
        <v>53</v>
      </c>
      <c r="U16" s="4" t="s">
        <v>53</v>
      </c>
      <c r="V16" s="4" t="s">
        <v>53</v>
      </c>
      <c r="W16" s="4" t="s">
        <v>53</v>
      </c>
      <c r="X16" s="4" t="s">
        <v>53</v>
      </c>
      <c r="Y16" s="4" t="s">
        <v>53</v>
      </c>
      <c r="AB16" s="17">
        <v>0.73333333333333328</v>
      </c>
      <c r="AF16" s="5"/>
    </row>
    <row r="17" spans="1:32" x14ac:dyDescent="0.25">
      <c r="A17" s="1" t="s">
        <v>20</v>
      </c>
      <c r="B17" s="16" t="s">
        <v>20</v>
      </c>
      <c r="C17" s="4">
        <v>519</v>
      </c>
      <c r="D17" s="4" t="s">
        <v>73</v>
      </c>
      <c r="E17" s="4" t="s">
        <v>13</v>
      </c>
      <c r="F17" s="4" t="s">
        <v>82</v>
      </c>
      <c r="G17" s="4"/>
      <c r="H17" s="4"/>
      <c r="I17" s="4"/>
      <c r="J17" s="4"/>
      <c r="K17" s="4" t="s">
        <v>54</v>
      </c>
      <c r="L17" s="4" t="s">
        <v>54</v>
      </c>
      <c r="M17" s="4" t="s">
        <v>53</v>
      </c>
      <c r="N17" s="4" t="s">
        <v>54</v>
      </c>
      <c r="O17" s="4" t="s">
        <v>53</v>
      </c>
      <c r="P17" s="4" t="s">
        <v>53</v>
      </c>
      <c r="Q17" s="4" t="e">
        <v>#N/A</v>
      </c>
      <c r="R17" s="4" t="e">
        <v>#N/A</v>
      </c>
      <c r="S17" s="4" t="s">
        <v>53</v>
      </c>
      <c r="T17" s="4" t="s">
        <v>53</v>
      </c>
      <c r="U17" s="4" t="s">
        <v>53</v>
      </c>
      <c r="V17" s="4" t="s">
        <v>53</v>
      </c>
      <c r="W17" s="4" t="s">
        <v>53</v>
      </c>
      <c r="X17" s="4" t="s">
        <v>53</v>
      </c>
      <c r="Y17" s="4" t="s">
        <v>53</v>
      </c>
      <c r="AB17" s="17">
        <v>0.66666666666666663</v>
      </c>
      <c r="AF17" s="5"/>
    </row>
    <row r="18" spans="1:32" x14ac:dyDescent="0.25">
      <c r="A18" s="1" t="s">
        <v>22</v>
      </c>
      <c r="B18" s="16" t="s">
        <v>22</v>
      </c>
      <c r="C18" s="4">
        <v>596</v>
      </c>
      <c r="D18" s="4" t="s">
        <v>73</v>
      </c>
      <c r="E18" s="4" t="s">
        <v>13</v>
      </c>
      <c r="F18" s="4" t="s">
        <v>23</v>
      </c>
      <c r="G18" s="4"/>
      <c r="H18" s="4"/>
      <c r="I18" s="4"/>
      <c r="J18" s="4"/>
      <c r="K18" s="4" t="s">
        <v>54</v>
      </c>
      <c r="L18" s="4" t="s">
        <v>54</v>
      </c>
      <c r="M18" s="4" t="s">
        <v>53</v>
      </c>
      <c r="N18" s="4" t="s">
        <v>53</v>
      </c>
      <c r="O18" s="4" t="s">
        <v>53</v>
      </c>
      <c r="P18" s="4" t="s">
        <v>54</v>
      </c>
      <c r="Q18" s="4" t="e">
        <v>#N/A</v>
      </c>
      <c r="R18" s="4" t="e">
        <v>#N/A</v>
      </c>
      <c r="S18" s="4" t="s">
        <v>53</v>
      </c>
      <c r="T18" s="4" t="s">
        <v>53</v>
      </c>
      <c r="U18" s="4" t="s">
        <v>53</v>
      </c>
      <c r="V18" s="4" t="s">
        <v>53</v>
      </c>
      <c r="W18" s="4" t="s">
        <v>53</v>
      </c>
      <c r="X18" s="4" t="s">
        <v>53</v>
      </c>
      <c r="Y18" s="4" t="s">
        <v>53</v>
      </c>
      <c r="AB18" s="17">
        <v>0.66666666666666663</v>
      </c>
      <c r="AF18" s="5"/>
    </row>
    <row r="19" spans="1:32" x14ac:dyDescent="0.25">
      <c r="A19" s="1" t="s">
        <v>19</v>
      </c>
      <c r="B19" s="16" t="s">
        <v>19</v>
      </c>
      <c r="C19" s="4">
        <v>390</v>
      </c>
      <c r="D19" s="4" t="s">
        <v>73</v>
      </c>
      <c r="E19" s="4" t="s">
        <v>13</v>
      </c>
      <c r="F19" s="4" t="s">
        <v>83</v>
      </c>
      <c r="G19" s="4"/>
      <c r="H19" s="4"/>
      <c r="I19" s="4"/>
      <c r="J19" s="4"/>
      <c r="K19" s="4" t="s">
        <v>54</v>
      </c>
      <c r="L19" s="4" t="s">
        <v>53</v>
      </c>
      <c r="M19" s="4" t="s">
        <v>53</v>
      </c>
      <c r="N19" s="4" t="s">
        <v>53</v>
      </c>
      <c r="O19" s="4" t="s">
        <v>53</v>
      </c>
      <c r="P19" s="4" t="s">
        <v>54</v>
      </c>
      <c r="Q19" s="4" t="e">
        <v>#N/A</v>
      </c>
      <c r="R19" s="4" t="e">
        <v>#N/A</v>
      </c>
      <c r="S19" s="4" t="s">
        <v>54</v>
      </c>
      <c r="T19" s="4" t="s">
        <v>53</v>
      </c>
      <c r="U19" s="4" t="s">
        <v>53</v>
      </c>
      <c r="V19" s="4" t="s">
        <v>54</v>
      </c>
      <c r="W19" s="4" t="s">
        <v>54</v>
      </c>
      <c r="X19" s="4" t="s">
        <v>53</v>
      </c>
      <c r="Y19" s="4" t="s">
        <v>53</v>
      </c>
      <c r="AB19" s="17">
        <v>0.53333333333333333</v>
      </c>
      <c r="AF19" s="5"/>
    </row>
    <row r="20" spans="1:32" x14ac:dyDescent="0.25">
      <c r="A20" s="1" t="s">
        <v>43</v>
      </c>
      <c r="B20" s="16" t="s">
        <v>43</v>
      </c>
      <c r="C20" s="4">
        <v>30006</v>
      </c>
      <c r="D20" s="4" t="s">
        <v>73</v>
      </c>
      <c r="E20" s="4" t="s">
        <v>13</v>
      </c>
      <c r="F20" s="4" t="s">
        <v>44</v>
      </c>
      <c r="G20" s="4"/>
      <c r="H20" s="4"/>
      <c r="I20" s="4"/>
      <c r="J20" s="4"/>
      <c r="K20" s="4" t="s">
        <v>53</v>
      </c>
      <c r="L20" s="4" t="s">
        <v>54</v>
      </c>
      <c r="M20" s="4" t="s">
        <v>54</v>
      </c>
      <c r="N20" s="4" t="s">
        <v>53</v>
      </c>
      <c r="O20" s="4" t="s">
        <v>53</v>
      </c>
      <c r="P20" s="4" t="s">
        <v>54</v>
      </c>
      <c r="Q20" s="4" t="e">
        <v>#N/A</v>
      </c>
      <c r="R20" s="4" t="e">
        <v>#N/A</v>
      </c>
      <c r="S20" s="4" t="s">
        <v>54</v>
      </c>
      <c r="T20" s="4" t="s">
        <v>53</v>
      </c>
      <c r="U20" s="4" t="s">
        <v>54</v>
      </c>
      <c r="V20" s="4" t="s">
        <v>54</v>
      </c>
      <c r="W20" s="4" t="s">
        <v>54</v>
      </c>
      <c r="X20" s="4" t="s">
        <v>53</v>
      </c>
      <c r="Y20" s="4" t="s">
        <v>54</v>
      </c>
      <c r="AB20" s="17">
        <v>0.33333333333333331</v>
      </c>
      <c r="AF20" s="5"/>
    </row>
    <row r="21" spans="1:32" x14ac:dyDescent="0.25">
      <c r="A21" s="1" t="s">
        <v>29</v>
      </c>
      <c r="B21" s="16" t="s">
        <v>29</v>
      </c>
      <c r="C21" s="4">
        <v>1178</v>
      </c>
      <c r="D21" s="4" t="s">
        <v>73</v>
      </c>
      <c r="E21" s="4" t="s">
        <v>13</v>
      </c>
      <c r="F21" s="4" t="s">
        <v>30</v>
      </c>
      <c r="G21" s="4"/>
      <c r="H21" s="4"/>
      <c r="I21" s="4"/>
      <c r="J21" s="4"/>
      <c r="K21" s="4" t="s">
        <v>53</v>
      </c>
      <c r="L21" s="4" t="s">
        <v>54</v>
      </c>
      <c r="M21" s="4" t="s">
        <v>53</v>
      </c>
      <c r="N21" s="4" t="s">
        <v>54</v>
      </c>
      <c r="O21" s="4" t="s">
        <v>53</v>
      </c>
      <c r="P21" s="4" t="s">
        <v>53</v>
      </c>
      <c r="Q21" s="4" t="e">
        <v>#N/A</v>
      </c>
      <c r="R21" s="4" t="e">
        <v>#N/A</v>
      </c>
      <c r="S21" s="4" t="s">
        <v>53</v>
      </c>
      <c r="T21" s="4" t="s">
        <v>53</v>
      </c>
      <c r="U21" s="4" t="s">
        <v>53</v>
      </c>
      <c r="V21" s="4" t="s">
        <v>53</v>
      </c>
      <c r="W21" s="4" t="s">
        <v>54</v>
      </c>
      <c r="X21" s="4" t="s">
        <v>53</v>
      </c>
      <c r="Y21" s="4" t="s">
        <v>53</v>
      </c>
      <c r="AB21" s="17">
        <v>0.66666666666666663</v>
      </c>
      <c r="AF21" s="5"/>
    </row>
    <row r="22" spans="1:32" x14ac:dyDescent="0.25">
      <c r="A22" s="1" t="s">
        <v>35</v>
      </c>
      <c r="B22" s="16" t="s">
        <v>35</v>
      </c>
      <c r="C22" s="4">
        <v>2689</v>
      </c>
      <c r="D22" s="4" t="s">
        <v>73</v>
      </c>
      <c r="E22" s="4" t="s">
        <v>13</v>
      </c>
      <c r="F22" s="4" t="s">
        <v>84</v>
      </c>
      <c r="G22" s="4"/>
      <c r="H22" s="4"/>
      <c r="I22" s="4"/>
      <c r="J22" s="4"/>
      <c r="K22" s="4" t="s">
        <v>54</v>
      </c>
      <c r="L22" s="4" t="s">
        <v>53</v>
      </c>
      <c r="M22" s="4" t="s">
        <v>53</v>
      </c>
      <c r="N22" s="4" t="s">
        <v>53</v>
      </c>
      <c r="O22" s="4" t="s">
        <v>53</v>
      </c>
      <c r="P22" s="4" t="s">
        <v>54</v>
      </c>
      <c r="Q22" s="4" t="e">
        <v>#N/A</v>
      </c>
      <c r="R22" s="4" t="e">
        <v>#N/A</v>
      </c>
      <c r="S22" s="4" t="s">
        <v>54</v>
      </c>
      <c r="T22" s="4" t="s">
        <v>53</v>
      </c>
      <c r="U22" s="4" t="s">
        <v>54</v>
      </c>
      <c r="V22" s="4" t="s">
        <v>54</v>
      </c>
      <c r="W22" s="4" t="s">
        <v>53</v>
      </c>
      <c r="X22" s="4" t="s">
        <v>54</v>
      </c>
      <c r="Y22" s="4" t="s">
        <v>54</v>
      </c>
      <c r="AB22" s="17">
        <v>0.4</v>
      </c>
      <c r="AF22" s="5"/>
    </row>
    <row r="23" spans="1:32" x14ac:dyDescent="0.25">
      <c r="A23" s="1" t="s">
        <v>41</v>
      </c>
      <c r="B23" s="16" t="s">
        <v>41</v>
      </c>
      <c r="C23" s="4">
        <v>8230</v>
      </c>
      <c r="D23" s="4" t="s">
        <v>73</v>
      </c>
      <c r="E23" s="4" t="s">
        <v>13</v>
      </c>
      <c r="F23" s="4" t="s">
        <v>42</v>
      </c>
      <c r="G23" s="4"/>
      <c r="H23" s="4"/>
      <c r="I23" s="4"/>
      <c r="J23" s="4"/>
      <c r="K23" s="4" t="s">
        <v>53</v>
      </c>
      <c r="L23" s="4" t="s">
        <v>53</v>
      </c>
      <c r="M23" s="4" t="s">
        <v>53</v>
      </c>
      <c r="N23" s="4" t="s">
        <v>53</v>
      </c>
      <c r="O23" s="4" t="s">
        <v>53</v>
      </c>
      <c r="P23" s="4" t="s">
        <v>53</v>
      </c>
      <c r="Q23" s="4" t="e">
        <v>#N/A</v>
      </c>
      <c r="R23" s="4" t="e">
        <v>#N/A</v>
      </c>
      <c r="S23" s="4" t="s">
        <v>54</v>
      </c>
      <c r="T23" s="4" t="s">
        <v>53</v>
      </c>
      <c r="U23" s="4" t="s">
        <v>53</v>
      </c>
      <c r="V23" s="4" t="s">
        <v>53</v>
      </c>
      <c r="W23" s="4" t="s">
        <v>53</v>
      </c>
      <c r="X23" s="4" t="s">
        <v>54</v>
      </c>
      <c r="Y23" s="4" t="s">
        <v>53</v>
      </c>
      <c r="AB23" s="17">
        <v>0.73333333333333328</v>
      </c>
      <c r="AF23" s="5"/>
    </row>
    <row r="24" spans="1:32" x14ac:dyDescent="0.25">
      <c r="A24" s="1" t="s">
        <v>40</v>
      </c>
      <c r="B24" s="16" t="s">
        <v>40</v>
      </c>
      <c r="C24" s="4">
        <v>8139</v>
      </c>
      <c r="D24" s="4" t="s">
        <v>73</v>
      </c>
      <c r="E24" s="4" t="s">
        <v>13</v>
      </c>
      <c r="F24" s="4" t="s">
        <v>85</v>
      </c>
      <c r="G24" s="4"/>
      <c r="H24" s="4"/>
      <c r="I24" s="4"/>
      <c r="J24" s="4"/>
      <c r="K24" s="4" t="s">
        <v>53</v>
      </c>
      <c r="L24" s="4" t="s">
        <v>54</v>
      </c>
      <c r="M24" s="4" t="s">
        <v>53</v>
      </c>
      <c r="N24" s="4" t="s">
        <v>54</v>
      </c>
      <c r="O24" s="4" t="s">
        <v>53</v>
      </c>
      <c r="P24" s="4" t="s">
        <v>54</v>
      </c>
      <c r="Q24" s="4" t="e">
        <v>#N/A</v>
      </c>
      <c r="R24" s="4" t="e">
        <v>#N/A</v>
      </c>
      <c r="S24" s="4" t="s">
        <v>54</v>
      </c>
      <c r="T24" s="4" t="s">
        <v>54</v>
      </c>
      <c r="U24" s="4" t="s">
        <v>54</v>
      </c>
      <c r="V24" s="4" t="s">
        <v>54</v>
      </c>
      <c r="W24" s="4" t="s">
        <v>53</v>
      </c>
      <c r="X24" s="4" t="s">
        <v>54</v>
      </c>
      <c r="Y24" s="4" t="s">
        <v>54</v>
      </c>
      <c r="AB24" s="17">
        <v>0.26666666666666666</v>
      </c>
      <c r="AF24" s="5"/>
    </row>
    <row r="25" spans="1:32" x14ac:dyDescent="0.25">
      <c r="A25" s="1" t="s">
        <v>37</v>
      </c>
      <c r="B25" s="16" t="s">
        <v>37</v>
      </c>
      <c r="C25" s="4">
        <v>8010</v>
      </c>
      <c r="D25" s="4" t="s">
        <v>73</v>
      </c>
      <c r="E25" s="4" t="s">
        <v>13</v>
      </c>
      <c r="F25" s="4" t="s">
        <v>86</v>
      </c>
      <c r="G25" s="4"/>
      <c r="H25" s="4"/>
      <c r="I25" s="4"/>
      <c r="J25" s="4"/>
      <c r="K25" s="4" t="s">
        <v>53</v>
      </c>
      <c r="L25" s="4" t="s">
        <v>53</v>
      </c>
      <c r="M25" s="4" t="s">
        <v>53</v>
      </c>
      <c r="N25" s="4" t="s">
        <v>53</v>
      </c>
      <c r="O25" s="4" t="s">
        <v>53</v>
      </c>
      <c r="P25" s="4" t="s">
        <v>53</v>
      </c>
      <c r="Q25" s="4" t="e">
        <v>#N/A</v>
      </c>
      <c r="R25" s="4" t="e">
        <v>#N/A</v>
      </c>
      <c r="S25" s="4" t="s">
        <v>54</v>
      </c>
      <c r="T25" s="4" t="s">
        <v>53</v>
      </c>
      <c r="U25" s="4" t="s">
        <v>53</v>
      </c>
      <c r="V25" s="4" t="s">
        <v>53</v>
      </c>
      <c r="W25" s="4" t="s">
        <v>53</v>
      </c>
      <c r="X25" s="4" t="s">
        <v>53</v>
      </c>
      <c r="Y25" s="4" t="s">
        <v>53</v>
      </c>
      <c r="AB25" s="17">
        <v>0.8</v>
      </c>
      <c r="AF25" s="5"/>
    </row>
    <row r="26" spans="1:32" x14ac:dyDescent="0.25">
      <c r="A26" s="1" t="s">
        <v>26</v>
      </c>
      <c r="B26" s="16" t="s">
        <v>26</v>
      </c>
      <c r="C26" s="4">
        <v>1006</v>
      </c>
      <c r="D26" s="4" t="s">
        <v>73</v>
      </c>
      <c r="E26" s="4" t="s">
        <v>13</v>
      </c>
      <c r="F26" s="4" t="s">
        <v>27</v>
      </c>
      <c r="G26" s="4"/>
      <c r="H26" s="4"/>
      <c r="I26" s="4"/>
      <c r="J26" s="4"/>
      <c r="K26" s="4" t="s">
        <v>53</v>
      </c>
      <c r="L26" s="4" t="s">
        <v>54</v>
      </c>
      <c r="M26" s="4" t="s">
        <v>54</v>
      </c>
      <c r="N26" s="4" t="s">
        <v>53</v>
      </c>
      <c r="O26" s="4" t="s">
        <v>53</v>
      </c>
      <c r="P26" s="4" t="s">
        <v>54</v>
      </c>
      <c r="Q26" s="4" t="e">
        <v>#N/A</v>
      </c>
      <c r="R26" s="4" t="e">
        <v>#N/A</v>
      </c>
      <c r="S26" s="4" t="s">
        <v>54</v>
      </c>
      <c r="T26" s="4" t="s">
        <v>53</v>
      </c>
      <c r="U26" s="4" t="s">
        <v>53</v>
      </c>
      <c r="V26" s="4" t="s">
        <v>53</v>
      </c>
      <c r="W26" s="4" t="s">
        <v>53</v>
      </c>
      <c r="X26" s="4" t="s">
        <v>53</v>
      </c>
      <c r="Y26" s="4" t="s">
        <v>53</v>
      </c>
      <c r="AB26" s="17">
        <v>0.6</v>
      </c>
      <c r="AF26" s="5"/>
    </row>
    <row r="27" spans="1:32" x14ac:dyDescent="0.25">
      <c r="A27" s="1" t="s">
        <v>24</v>
      </c>
      <c r="B27" s="16" t="s">
        <v>24</v>
      </c>
      <c r="C27" s="4">
        <v>997</v>
      </c>
      <c r="D27" s="4" t="s">
        <v>73</v>
      </c>
      <c r="E27" s="4" t="s">
        <v>13</v>
      </c>
      <c r="F27" s="4" t="s">
        <v>25</v>
      </c>
      <c r="G27" s="4"/>
      <c r="H27" s="4"/>
      <c r="I27" s="4"/>
      <c r="J27" s="4"/>
      <c r="K27" s="4" t="s">
        <v>54</v>
      </c>
      <c r="L27" s="4" t="s">
        <v>53</v>
      </c>
      <c r="M27" s="4" t="s">
        <v>53</v>
      </c>
      <c r="N27" s="4" t="s">
        <v>53</v>
      </c>
      <c r="O27" s="4" t="s">
        <v>53</v>
      </c>
      <c r="P27" s="4" t="s">
        <v>54</v>
      </c>
      <c r="Q27" s="4" t="e">
        <v>#N/A</v>
      </c>
      <c r="R27" s="4" t="e">
        <v>#N/A</v>
      </c>
      <c r="S27" s="4" t="s">
        <v>53</v>
      </c>
      <c r="T27" s="4" t="s">
        <v>53</v>
      </c>
      <c r="U27" s="4" t="s">
        <v>53</v>
      </c>
      <c r="V27" s="4" t="s">
        <v>54</v>
      </c>
      <c r="W27" s="4" t="s">
        <v>53</v>
      </c>
      <c r="X27" s="4" t="s">
        <v>53</v>
      </c>
      <c r="Y27" s="4" t="s">
        <v>53</v>
      </c>
      <c r="AB27" s="17">
        <v>0.66666666666666663</v>
      </c>
      <c r="AF27" s="5"/>
    </row>
    <row r="28" spans="1:32" x14ac:dyDescent="0.25">
      <c r="A28" s="1" t="s">
        <v>28</v>
      </c>
      <c r="B28" s="16" t="s">
        <v>28</v>
      </c>
      <c r="C28" s="4">
        <v>1089</v>
      </c>
      <c r="D28" s="4" t="s">
        <v>73</v>
      </c>
      <c r="E28" s="4" t="s">
        <v>13</v>
      </c>
      <c r="F28" s="4" t="s">
        <v>87</v>
      </c>
      <c r="G28" s="4"/>
      <c r="H28" s="4"/>
      <c r="I28" s="4"/>
      <c r="J28" s="4"/>
      <c r="K28" s="4" t="s">
        <v>53</v>
      </c>
      <c r="L28" s="4" t="s">
        <v>53</v>
      </c>
      <c r="M28" s="4" t="s">
        <v>53</v>
      </c>
      <c r="N28" s="4" t="s">
        <v>53</v>
      </c>
      <c r="O28" s="4" t="s">
        <v>53</v>
      </c>
      <c r="P28" s="4" t="s">
        <v>53</v>
      </c>
      <c r="Q28" s="4" t="e">
        <v>#N/A</v>
      </c>
      <c r="R28" s="4" t="e">
        <v>#N/A</v>
      </c>
      <c r="S28" s="4" t="s">
        <v>53</v>
      </c>
      <c r="T28" s="4" t="s">
        <v>53</v>
      </c>
      <c r="U28" s="4" t="s">
        <v>54</v>
      </c>
      <c r="V28" s="4" t="s">
        <v>54</v>
      </c>
      <c r="W28" s="4" t="s">
        <v>53</v>
      </c>
      <c r="X28" s="4" t="s">
        <v>53</v>
      </c>
      <c r="Y28" s="4" t="s">
        <v>53</v>
      </c>
      <c r="AB28" s="17">
        <v>0.73333333333333328</v>
      </c>
      <c r="AF28" s="5"/>
    </row>
    <row r="29" spans="1:32" x14ac:dyDescent="0.25">
      <c r="A29" s="1" t="s">
        <v>32</v>
      </c>
      <c r="B29" s="16" t="s">
        <v>32</v>
      </c>
      <c r="C29" s="4">
        <v>2353</v>
      </c>
      <c r="D29" s="4" t="s">
        <v>76</v>
      </c>
      <c r="E29" s="4" t="s">
        <v>13</v>
      </c>
      <c r="F29" s="4" t="s">
        <v>88</v>
      </c>
      <c r="G29" s="4"/>
      <c r="H29" s="4"/>
      <c r="I29" s="4"/>
      <c r="J29" s="4"/>
      <c r="K29" s="4" t="s">
        <v>53</v>
      </c>
      <c r="L29" s="4" t="s">
        <v>53</v>
      </c>
      <c r="M29" s="4" t="s">
        <v>54</v>
      </c>
      <c r="N29" s="4" t="s">
        <v>53</v>
      </c>
      <c r="O29" s="4" t="s">
        <v>53</v>
      </c>
      <c r="P29" s="4" t="s">
        <v>53</v>
      </c>
      <c r="Q29" s="4" t="e">
        <v>#N/A</v>
      </c>
      <c r="R29" s="4" t="e">
        <v>#N/A</v>
      </c>
      <c r="S29" s="4" t="s">
        <v>53</v>
      </c>
      <c r="T29" s="4" t="s">
        <v>53</v>
      </c>
      <c r="U29" s="4" t="s">
        <v>53</v>
      </c>
      <c r="V29" s="4" t="s">
        <v>54</v>
      </c>
      <c r="W29" s="4" t="s">
        <v>53</v>
      </c>
      <c r="X29" s="4" t="s">
        <v>53</v>
      </c>
      <c r="Y29" s="4" t="s">
        <v>53</v>
      </c>
      <c r="AB29" s="17">
        <v>0.73333333333333328</v>
      </c>
      <c r="AF29" s="5"/>
    </row>
    <row r="30" spans="1:32" x14ac:dyDescent="0.25">
      <c r="A30" s="1" t="s">
        <v>33</v>
      </c>
      <c r="B30" s="16" t="s">
        <v>33</v>
      </c>
      <c r="C30" s="4">
        <v>2357</v>
      </c>
      <c r="D30" s="4" t="s">
        <v>76</v>
      </c>
      <c r="E30" s="4" t="s">
        <v>13</v>
      </c>
      <c r="F30" s="4" t="s">
        <v>89</v>
      </c>
      <c r="G30" s="4"/>
      <c r="H30" s="4"/>
      <c r="I30" s="4"/>
      <c r="J30" s="4"/>
      <c r="K30" s="4" t="s">
        <v>53</v>
      </c>
      <c r="L30" s="4" t="s">
        <v>53</v>
      </c>
      <c r="M30" s="4" t="s">
        <v>53</v>
      </c>
      <c r="N30" s="4" t="s">
        <v>53</v>
      </c>
      <c r="O30" s="4" t="s">
        <v>53</v>
      </c>
      <c r="P30" s="4" t="s">
        <v>53</v>
      </c>
      <c r="Q30" s="4" t="e">
        <v>#N/A</v>
      </c>
      <c r="R30" s="4" t="e">
        <v>#N/A</v>
      </c>
      <c r="S30" s="4" t="s">
        <v>53</v>
      </c>
      <c r="T30" s="4" t="s">
        <v>53</v>
      </c>
      <c r="U30" s="4" t="s">
        <v>53</v>
      </c>
      <c r="V30" s="4" t="s">
        <v>54</v>
      </c>
      <c r="W30" s="4" t="s">
        <v>53</v>
      </c>
      <c r="X30" s="4" t="s">
        <v>53</v>
      </c>
      <c r="Y30" s="4" t="s">
        <v>53</v>
      </c>
      <c r="AB30" s="17">
        <v>0.8</v>
      </c>
      <c r="AF30" s="5"/>
    </row>
    <row r="31" spans="1:32" x14ac:dyDescent="0.25">
      <c r="A31" s="1" t="s">
        <v>36</v>
      </c>
      <c r="B31" s="16" t="s">
        <v>36</v>
      </c>
      <c r="C31" s="4">
        <v>7219</v>
      </c>
      <c r="D31" s="4" t="s">
        <v>73</v>
      </c>
      <c r="E31" s="4" t="s">
        <v>13</v>
      </c>
      <c r="F31" s="4" t="s">
        <v>90</v>
      </c>
      <c r="G31" s="4"/>
      <c r="H31" s="4"/>
      <c r="I31" s="4"/>
      <c r="J31" s="4"/>
      <c r="K31" s="4" t="s">
        <v>53</v>
      </c>
      <c r="L31" s="4" t="s">
        <v>54</v>
      </c>
      <c r="M31" s="4" t="s">
        <v>54</v>
      </c>
      <c r="N31" s="4" t="s">
        <v>54</v>
      </c>
      <c r="O31" s="4" t="s">
        <v>53</v>
      </c>
      <c r="P31" s="4" t="s">
        <v>53</v>
      </c>
      <c r="Q31" s="4" t="e">
        <v>#N/A</v>
      </c>
      <c r="R31" s="4" t="e">
        <v>#N/A</v>
      </c>
      <c r="S31" s="4" t="s">
        <v>54</v>
      </c>
      <c r="T31" s="4" t="s">
        <v>53</v>
      </c>
      <c r="U31" s="4" t="s">
        <v>54</v>
      </c>
      <c r="V31" s="4" t="s">
        <v>54</v>
      </c>
      <c r="W31" s="4" t="s">
        <v>53</v>
      </c>
      <c r="X31" s="4" t="s">
        <v>53</v>
      </c>
      <c r="Y31" s="4" t="s">
        <v>54</v>
      </c>
      <c r="AB31" s="17">
        <v>0.4</v>
      </c>
      <c r="AF31" s="5"/>
    </row>
    <row r="32" spans="1:32" x14ac:dyDescent="0.25">
      <c r="A32" s="1" t="s">
        <v>45</v>
      </c>
      <c r="B32" s="16" t="s">
        <v>45</v>
      </c>
      <c r="C32" s="4">
        <v>30011</v>
      </c>
      <c r="D32" s="4" t="s">
        <v>73</v>
      </c>
      <c r="E32" s="4" t="s">
        <v>13</v>
      </c>
      <c r="F32" s="4" t="s">
        <v>91</v>
      </c>
      <c r="G32" s="4"/>
      <c r="H32" s="4"/>
      <c r="I32" s="4"/>
      <c r="J32" s="4"/>
      <c r="K32" s="4" t="s">
        <v>53</v>
      </c>
      <c r="L32" s="4" t="s">
        <v>54</v>
      </c>
      <c r="M32" s="4" t="s">
        <v>53</v>
      </c>
      <c r="N32" s="4" t="s">
        <v>53</v>
      </c>
      <c r="O32" s="4" t="s">
        <v>53</v>
      </c>
      <c r="P32" s="4" t="s">
        <v>53</v>
      </c>
      <c r="Q32" s="4" t="e">
        <v>#N/A</v>
      </c>
      <c r="R32" s="4" t="e">
        <v>#N/A</v>
      </c>
      <c r="S32" s="4" t="s">
        <v>53</v>
      </c>
      <c r="T32" s="4" t="s">
        <v>53</v>
      </c>
      <c r="U32" s="4" t="s">
        <v>53</v>
      </c>
      <c r="V32" s="4" t="s">
        <v>53</v>
      </c>
      <c r="W32" s="4" t="s">
        <v>53</v>
      </c>
      <c r="X32" s="4" t="s">
        <v>53</v>
      </c>
      <c r="Y32" s="4" t="s">
        <v>53</v>
      </c>
      <c r="AB32" s="17">
        <v>0.8</v>
      </c>
      <c r="AF32" s="5"/>
    </row>
    <row r="33" spans="1:32" x14ac:dyDescent="0.25">
      <c r="A33" s="1" t="s">
        <v>50</v>
      </c>
      <c r="B33" s="16" t="s">
        <v>50</v>
      </c>
      <c r="C33" s="4">
        <v>30044</v>
      </c>
      <c r="D33" s="4" t="s">
        <v>76</v>
      </c>
      <c r="E33" s="4" t="s">
        <v>13</v>
      </c>
      <c r="F33" s="4" t="s">
        <v>92</v>
      </c>
      <c r="G33" s="4"/>
      <c r="H33" s="4"/>
      <c r="I33" s="4"/>
      <c r="J33" s="4"/>
      <c r="K33" s="4" t="s">
        <v>53</v>
      </c>
      <c r="L33" s="4" t="s">
        <v>53</v>
      </c>
      <c r="M33" s="4" t="s">
        <v>53</v>
      </c>
      <c r="N33" s="4" t="s">
        <v>53</v>
      </c>
      <c r="O33" s="4" t="s">
        <v>53</v>
      </c>
      <c r="P33" s="4" t="s">
        <v>54</v>
      </c>
      <c r="Q33" s="4" t="e">
        <v>#N/A</v>
      </c>
      <c r="R33" s="4" t="e">
        <v>#N/A</v>
      </c>
      <c r="S33" s="4" t="s">
        <v>53</v>
      </c>
      <c r="T33" s="4" t="s">
        <v>53</v>
      </c>
      <c r="U33" s="4" t="s">
        <v>53</v>
      </c>
      <c r="V33" s="4" t="s">
        <v>54</v>
      </c>
      <c r="W33" s="4" t="s">
        <v>53</v>
      </c>
      <c r="X33" s="4" t="s">
        <v>53</v>
      </c>
      <c r="Y33" s="4" t="s">
        <v>53</v>
      </c>
      <c r="AB33" s="17">
        <v>0.73333333333333328</v>
      </c>
      <c r="AF33" s="5"/>
    </row>
    <row r="35" spans="1:32" x14ac:dyDescent="0.25">
      <c r="K35" s="18">
        <f>COUNTIF(K6:K33,"=NO")</f>
        <v>7</v>
      </c>
      <c r="L35" s="18">
        <f t="shared" ref="L35:Y35" si="2">COUNTIF(L6:L33,"=NO")</f>
        <v>12</v>
      </c>
      <c r="M35" s="18">
        <f t="shared" si="2"/>
        <v>5</v>
      </c>
      <c r="N35" s="18">
        <f t="shared" si="2"/>
        <v>6</v>
      </c>
      <c r="O35" s="18">
        <f t="shared" si="2"/>
        <v>0</v>
      </c>
      <c r="P35" s="18">
        <f t="shared" si="2"/>
        <v>12</v>
      </c>
      <c r="Q35" s="18">
        <f t="shared" si="2"/>
        <v>0</v>
      </c>
      <c r="R35" s="18">
        <f t="shared" si="2"/>
        <v>0</v>
      </c>
      <c r="S35" s="18">
        <f t="shared" si="2"/>
        <v>10</v>
      </c>
      <c r="T35" s="18">
        <f t="shared" si="2"/>
        <v>2</v>
      </c>
      <c r="U35" s="18">
        <f t="shared" si="2"/>
        <v>8</v>
      </c>
      <c r="V35" s="18">
        <f t="shared" si="2"/>
        <v>14</v>
      </c>
      <c r="W35" s="18">
        <f t="shared" si="2"/>
        <v>4</v>
      </c>
      <c r="X35" s="18">
        <f t="shared" si="2"/>
        <v>4</v>
      </c>
      <c r="Y35" s="18">
        <f t="shared" si="2"/>
        <v>5</v>
      </c>
    </row>
  </sheetData>
  <mergeCells count="1">
    <mergeCell ref="G3:J3"/>
  </mergeCells>
  <conditionalFormatting sqref="M6:Y33 M1:Y4">
    <cfRule type="containsText" dxfId="9" priority="9" operator="containsText" text="SI">
      <formula>NOT(ISERROR(SEARCH("SI",M1)))</formula>
    </cfRule>
    <cfRule type="containsText" dxfId="8" priority="10" operator="containsText" text="NO">
      <formula>NOT(ISERROR(SEARCH("NO",M1)))</formula>
    </cfRule>
  </conditionalFormatting>
  <conditionalFormatting sqref="Z4">
    <cfRule type="containsText" dxfId="7" priority="7" operator="containsText" text="SI">
      <formula>NOT(ISERROR(SEARCH("SI",Z4)))</formula>
    </cfRule>
    <cfRule type="containsText" dxfId="6" priority="8" operator="containsText" text="NO">
      <formula>NOT(ISERROR(SEARCH("NO",Z4)))</formula>
    </cfRule>
  </conditionalFormatting>
  <conditionalFormatting sqref="K6:K33">
    <cfRule type="containsText" dxfId="5" priority="5" operator="containsText" text="SI">
      <formula>NOT(ISERROR(SEARCH("SI",K6)))</formula>
    </cfRule>
    <cfRule type="containsText" dxfId="4" priority="6" operator="containsText" text="NO">
      <formula>NOT(ISERROR(SEARCH("NO",K6)))</formula>
    </cfRule>
  </conditionalFormatting>
  <conditionalFormatting sqref="K6:K33">
    <cfRule type="containsText" dxfId="3" priority="3" operator="containsText" text="SI">
      <formula>NOT(ISERROR(SEARCH("SI",K6)))</formula>
    </cfRule>
    <cfRule type="containsText" dxfId="2" priority="4" operator="containsText" text="NO">
      <formula>NOT(ISERROR(SEARCH("NO",K6)))</formula>
    </cfRule>
  </conditionalFormatting>
  <conditionalFormatting sqref="L6:L33">
    <cfRule type="containsText" dxfId="1" priority="1" operator="containsText" text="SI">
      <formula>NOT(ISERROR(SEARCH("SI",L6)))</formula>
    </cfRule>
    <cfRule type="containsText" dxfId="0" priority="2" operator="containsText" text="NO">
      <formula>NOT(ISERROR(SEARCH("NO",L6)))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Cuadro Inov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Romina Tejeda</dc:creator>
  <cp:lastModifiedBy>usuario</cp:lastModifiedBy>
  <dcterms:created xsi:type="dcterms:W3CDTF">2026-05-15T14:58:50Z</dcterms:created>
  <dcterms:modified xsi:type="dcterms:W3CDTF">2026-05-19T19:13:20Z</dcterms:modified>
</cp:coreProperties>
</file>