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363202ddb944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calas" sheetId="1" r:id="R8aceb47236314f9a"/>
    <x:sheet xmlns:r="http://schemas.openxmlformats.org/officeDocument/2006/relationships" name="Control de medición" sheetId="2" r:id="R098572525c0a4a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11111"/>
      <x:name val="Carlito"/>
    </x:font>
    <x:font>
      <x:b/>
      <x:sz val="11"/>
      <x:color rgb="FF102A37"/>
      <x:name val="Carlito"/>
    </x:font>
    <x:font>
      <x:b/>
      <x:sz val="11"/>
      <x:color rgb="FF8B0000"/>
      <x:name val="Carlito"/>
    </x:font>
    <x:font>
      <x:b/>
      <x:sz val="11"/>
      <x:name val="Carlito"/>
    </x:font>
    <x:font>
      <x:b/>
      <x:sz val="11"/>
      <x:color rgb="FF0057B8"/>
      <x:name val="Carlito"/>
    </x:font>
    <x:font>
      <x:b/>
      <x:sz val="13"/>
      <x:color rgb="FF1B5E20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005B7F"/>
      </x:patternFill>
    </x:fill>
    <x:fill>
      <x:patternFill patternType="solid">
        <x:fgColor rgb="FF0B6E94"/>
      </x:patternFill>
    </x:fill>
    <x:fill>
      <x:patternFill patternType="solid">
        <x:fgColor rgb="FFF3F3F3"/>
      </x:patternFill>
    </x:fill>
    <x:fill>
      <x:patternFill patternType="solid">
        <x:fgColor rgb="FFF6E8C7"/>
      </x:patternFill>
    </x:fill>
    <x:fill>
      <x:patternFill patternType="solid">
        <x:fgColor rgb="FFE2E6EA"/>
      </x:patternFill>
    </x:fill>
    <x:fill>
      <x:patternFill patternType="solid">
        <x:fgColor rgb="FFF1DDCF"/>
      </x:patternFill>
    </x:fill>
    <x:fill>
      <x:patternFill patternType="solid">
        <x:fgColor rgb="FFE8F2F6"/>
      </x:patternFill>
    </x:fill>
    <x:fill>
      <x:patternFill patternType="solid">
        <x:fgColor rgb="FFA61B1B"/>
      </x:patternFill>
    </x:fill>
    <x:fill>
      <x:patternFill patternType="solid">
        <x:fgColor rgb="FFFCE8E8"/>
      </x:patternFill>
    </x:fill>
    <x:fill>
      <x:patternFill patternType="solid">
        <x:fgColor rgb="FFFFF2CC"/>
      </x:patternFill>
    </x:fill>
    <x:fill>
      <x:patternFill patternType="solid">
        <x:fgColor rgb="FFD9EAD3"/>
      </x:patternFill>
    </x:fill>
  </x:fills>
  <x:borders count="23">
    <x:border/>
    <x:border>
      <x:left style="thin">
        <x:color rgb="FF163E50"/>
      </x:left>
      <x:right style="thin">
        <x:color rgb="FF163E50"/>
      </x:right>
      <x:top style="thin">
        <x:color rgb="FF163E50"/>
      </x:top>
      <x:bottom style="thin">
        <x:color rgb="FF163E50"/>
      </x:bottom>
    </x:border>
    <x:border>
      <x:left style="thin">
        <x:color rgb="FF777777"/>
      </x:left>
      <x:right style="thin">
        <x:color rgb="FF777777"/>
      </x:right>
      <x:top style="thin">
        <x:color rgb="FF777777"/>
      </x:top>
      <x:bottom style="thin">
        <x:color rgb="FF777777"/>
      </x:bottom>
    </x:border>
    <x:border>
      <x:left style="thin">
        <x:color rgb="FF8AA8B5"/>
      </x:left>
      <x:top style="thin">
        <x:color rgb="FF8AA8B5"/>
      </x:top>
    </x:border>
    <x:border>
      <x:top style="thin">
        <x:color rgb="FF8AA8B5"/>
      </x:top>
    </x:border>
    <x:border>
      <x:right style="thin">
        <x:color rgb="FF8AA8B5"/>
      </x:right>
      <x:top style="thin">
        <x:color rgb="FF8AA8B5"/>
      </x:top>
    </x:border>
    <x:border>
      <x:left style="thin">
        <x:color rgb="FF8AA8B5"/>
      </x:left>
    </x:border>
    <x:border>
      <x:right style="thin">
        <x:color rgb="FF8AA8B5"/>
      </x:right>
    </x:border>
    <x:border>
      <x:left style="thin">
        <x:color rgb="FF8AA8B5"/>
      </x:left>
      <x:bottom style="thin">
        <x:color rgb="FF8AA8B5"/>
      </x:bottom>
    </x:border>
    <x:border>
      <x:bottom style="thin">
        <x:color rgb="FF8AA8B5"/>
      </x:bottom>
    </x:border>
    <x:border>
      <x:right style="thin">
        <x:color rgb="FF8AA8B5"/>
      </x:right>
      <x:bottom style="thin">
        <x:color rgb="FF8AA8B5"/>
      </x:bottom>
    </x:border>
    <x:border>
      <x:left style="medium">
        <x:color rgb="FFA61B1B"/>
      </x:left>
      <x:top style="medium">
        <x:color rgb="FFA61B1B"/>
      </x:top>
    </x:border>
    <x:border>
      <x:top style="medium">
        <x:color rgb="FFA61B1B"/>
      </x:top>
    </x:border>
    <x:border>
      <x:right style="medium">
        <x:color rgb="FFA61B1B"/>
      </x:right>
      <x:top style="medium">
        <x:color rgb="FFA61B1B"/>
      </x:top>
    </x:border>
    <x:border>
      <x:left style="medium">
        <x:color rgb="FFA61B1B"/>
      </x:left>
    </x:border>
    <x:border>
      <x:right style="medium">
        <x:color rgb="FFA61B1B"/>
      </x:right>
    </x:border>
    <x:border>
      <x:left style="medium">
        <x:color rgb="FFA61B1B"/>
      </x:left>
      <x:bottom style="medium">
        <x:color rgb="FFA61B1B"/>
      </x:bottom>
    </x:border>
    <x:border>
      <x:bottom style="medium">
        <x:color rgb="FFA61B1B"/>
      </x:bottom>
    </x:border>
    <x:border>
      <x:right style="medium">
        <x:color rgb="FFA61B1B"/>
      </x:right>
      <x:bottom style="medium">
        <x:color rgb="FFA61B1B"/>
      </x:bottom>
    </x:border>
    <x:border>
      <x:left style="thin">
        <x:color rgb="FF8AA8B5"/>
      </x:left>
      <x:right style="thin">
        <x:color rgb="FF8AA8B5"/>
      </x:right>
      <x:top style="thin">
        <x:color rgb="FF8AA8B5"/>
      </x:top>
      <x:bottom style="thin">
        <x:color rgb="FF8AA8B5"/>
      </x:bottom>
    </x:border>
    <x:border>
      <x:left style="thin">
        <x:color rgb="FFB7A362"/>
      </x:left>
      <x:right style="thin">
        <x:color rgb="FFB7A362"/>
      </x:right>
      <x:top style="thin">
        <x:color rgb="FFB7A362"/>
      </x:top>
      <x:bottom style="thin">
        <x:color rgb="FFB7A362"/>
      </x:bottom>
    </x:border>
    <x:border>
      <x:left style="medium">
        <x:color rgb="FF548235"/>
      </x:left>
      <x:right style="medium">
        <x:color rgb="FF548235"/>
      </x:right>
      <x:top style="medium">
        <x:color rgb="FF548235"/>
      </x:top>
      <x:bottom style="medium">
        <x:color rgb="FF548235"/>
      </x:bottom>
    </x:border>
    <x:border>
      <x:left style="thin">
        <x:color rgb="FFC7D3D9"/>
      </x:left>
      <x:right style="thin">
        <x:color rgb="FFC7D3D9"/>
      </x:right>
      <x:top style="thin">
        <x:color rgb="FFC7D3D9"/>
      </x:top>
      <x:bottom style="thin">
        <x:color rgb="FFC7D3D9"/>
      </x:bottom>
    </x:border>
  </x:borders>
  <x:cellStyleXfs count="1">
    <x:xf numFmtId="0" fontId="0" fillId="0" borderId="0"/>
  </x:cellStyleXfs>
  <x:cellXfs count="10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vertical="center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vertical="center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3" fillId="6" borderId="2" xfId="0" applyNumberFormat="1" applyFont="1" applyFill="1" applyBorder="1" applyAlignment="1">
      <x:alignment vertical="center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3" fillId="7" borderId="2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right" vertical="center"/>
    </x:xf>
    <x:xf numFmtId="0" fontId="3" fillId="5" borderId="2" xfId="0" applyNumberFormat="1" applyFont="1" applyFill="1" applyBorder="1" applyAlignment="1">
      <x:alignment horizontal="right" vertical="center"/>
    </x:xf>
    <x:xf numFmtId="0" fontId="3" fillId="6" borderId="2" xfId="0" applyNumberFormat="1" applyFont="1" applyFill="1" applyBorder="1" applyAlignment="1">
      <x:alignment horizontal="right" vertical="center"/>
    </x:xf>
    <x:xf numFmtId="0" fontId="3" fillId="7" borderId="2" xfId="0" applyNumberFormat="1" applyFont="1" applyFill="1" applyBorder="1" applyAlignment="1">
      <x:alignment horizontal="right" vertical="center"/>
    </x:xf>
    <x:xf numFmtId="200" fontId="3" fillId="4" borderId="2" xfId="0" applyNumberFormat="1" applyFont="1" applyFill="1" applyBorder="1" applyAlignment="1">
      <x:alignment horizontal="right" vertical="center"/>
    </x:xf>
    <x:xf numFmtId="200" fontId="3" fillId="5" borderId="2" xfId="0" applyNumberFormat="1" applyFont="1" applyFill="1" applyBorder="1" applyAlignment="1">
      <x:alignment horizontal="right" vertical="center"/>
    </x:xf>
    <x:xf numFmtId="200" fontId="3" fillId="6" borderId="2" xfId="0" applyNumberFormat="1" applyFont="1" applyFill="1" applyBorder="1" applyAlignment="1">
      <x:alignment horizontal="right" vertical="center"/>
    </x:xf>
    <x:xf numFmtId="200" fontId="3" fillId="7" borderId="2" xfId="0" applyNumberFormat="1" applyFont="1" applyFill="1" applyBorder="1" applyAlignment="1">
      <x:alignment horizontal="righ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0" fillId="8" borderId="3" xfId="0" applyNumberFormat="1" applyFont="1" applyFill="1" applyBorder="1"/>
    <x:xf numFmtId="0" fontId="0" fillId="8" borderId="4" xfId="0" applyNumberFormat="1" applyFont="1" applyFill="1" applyBorder="1"/>
    <x:xf numFmtId="0" fontId="0" fillId="8" borderId="5" xfId="0" applyNumberFormat="1" applyFont="1" applyFill="1" applyBorder="1"/>
    <x:xf numFmtId="0" fontId="0" fillId="8" borderId="6" xfId="0" applyNumberFormat="1" applyFont="1" applyFill="1" applyBorder="1"/>
    <x:xf numFmtId="0" fontId="0" fillId="8" borderId="7" xfId="0" applyNumberFormat="1" applyFont="1" applyFill="1" applyBorder="1"/>
    <x:xf numFmtId="0" fontId="0" fillId="8" borderId="8" xfId="0" applyNumberFormat="1" applyFont="1" applyFill="1" applyBorder="1"/>
    <x:xf numFmtId="0" fontId="0" fillId="8" borderId="9" xfId="0" applyNumberFormat="1" applyFont="1" applyFill="1" applyBorder="1"/>
    <x:xf numFmtId="0" fontId="0" fillId="8" borderId="10" xfId="0" applyNumberFormat="1" applyFont="1" applyFill="1" applyBorder="1"/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11" xfId="0" applyNumberFormat="1" applyFont="1" applyFill="1" applyBorder="1"/>
    <x:xf numFmtId="0" fontId="5" fillId="10" borderId="12" xfId="0" applyNumberFormat="1" applyFont="1" applyFill="1" applyBorder="1"/>
    <x:xf numFmtId="0" fontId="5" fillId="10" borderId="13" xfId="0" applyNumberFormat="1" applyFont="1" applyFill="1" applyBorder="1"/>
    <x:xf numFmtId="0" fontId="5" fillId="10" borderId="14" xfId="0" applyNumberFormat="1" applyFont="1" applyFill="1" applyBorder="1"/>
    <x:xf numFmtId="0" fontId="5" fillId="10" borderId="15" xfId="0" applyNumberFormat="1" applyFont="1" applyFill="1" applyBorder="1"/>
    <x:xf numFmtId="0" fontId="5" fillId="10" borderId="16" xfId="0" applyNumberFormat="1" applyFont="1" applyFill="1" applyBorder="1"/>
    <x:xf numFmtId="0" fontId="5" fillId="10" borderId="17" xfId="0" applyNumberFormat="1" applyFont="1" applyFill="1" applyBorder="1"/>
    <x:xf numFmtId="0" fontId="5" fillId="10" borderId="18" xfId="0" applyNumberFormat="1" applyFont="1" applyFill="1" applyBorder="1"/>
    <x:xf numFmtId="0" fontId="5" fillId="10" borderId="11" xfId="0" applyNumberFormat="1" applyFont="1" applyFill="1" applyBorder="1" applyAlignment="1">
      <x:alignment wrapText="1"/>
    </x:xf>
    <x:xf numFmtId="0" fontId="5" fillId="10" borderId="12" xfId="0" applyNumberFormat="1" applyFont="1" applyFill="1" applyBorder="1" applyAlignment="1">
      <x:alignment wrapText="1"/>
    </x:xf>
    <x:xf numFmtId="0" fontId="5" fillId="10" borderId="13" xfId="0" applyNumberFormat="1" applyFont="1" applyFill="1" applyBorder="1" applyAlignment="1">
      <x:alignment wrapText="1"/>
    </x:xf>
    <x:xf numFmtId="0" fontId="5" fillId="10" borderId="14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wrapText="1"/>
    </x:xf>
    <x:xf numFmtId="0" fontId="5" fillId="10" borderId="15" xfId="0" applyNumberFormat="1" applyFont="1" applyFill="1" applyBorder="1" applyAlignment="1">
      <x:alignment wrapText="1"/>
    </x:xf>
    <x:xf numFmtId="0" fontId="5" fillId="10" borderId="16" xfId="0" applyNumberFormat="1" applyFont="1" applyFill="1" applyBorder="1" applyAlignment="1">
      <x:alignment wrapText="1"/>
    </x:xf>
    <x:xf numFmtId="0" fontId="5" fillId="10" borderId="17" xfId="0" applyNumberFormat="1" applyFont="1" applyFill="1" applyBorder="1" applyAlignment="1">
      <x:alignment wrapText="1"/>
    </x:xf>
    <x:xf numFmtId="0" fontId="5" fillId="10" borderId="18" xfId="0" applyNumberFormat="1" applyFont="1" applyFill="1" applyBorder="1" applyAlignment="1">
      <x:alignment wrapText="1"/>
    </x:xf>
    <x:xf numFmtId="0" fontId="5" fillId="10" borderId="11" xfId="0" applyNumberFormat="1" applyFont="1" applyFill="1" applyBorder="1" applyAlignment="1">
      <x:alignment horizontal="left" wrapText="1"/>
    </x:xf>
    <x:xf numFmtId="0" fontId="5" fillId="10" borderId="12" xfId="0" applyNumberFormat="1" applyFont="1" applyFill="1" applyBorder="1" applyAlignment="1">
      <x:alignment horizontal="left" wrapText="1"/>
    </x:xf>
    <x:xf numFmtId="0" fontId="5" fillId="10" borderId="13" xfId="0" applyNumberFormat="1" applyFont="1" applyFill="1" applyBorder="1" applyAlignment="1">
      <x:alignment horizontal="left" wrapText="1"/>
    </x:xf>
    <x:xf numFmtId="0" fontId="5" fillId="10" borderId="14" xfId="0" applyNumberFormat="1" applyFont="1" applyFill="1" applyBorder="1" applyAlignment="1">
      <x:alignment horizontal="left" wrapText="1"/>
    </x:xf>
    <x:xf numFmtId="0" fontId="5" fillId="10" borderId="0" xfId="0" applyNumberFormat="1" applyFont="1" applyFill="1" applyBorder="1" applyAlignment="1">
      <x:alignment horizontal="left" wrapText="1"/>
    </x:xf>
    <x:xf numFmtId="0" fontId="5" fillId="10" borderId="15" xfId="0" applyNumberFormat="1" applyFont="1" applyFill="1" applyBorder="1" applyAlignment="1">
      <x:alignment horizontal="left" wrapText="1"/>
    </x:xf>
    <x:xf numFmtId="0" fontId="5" fillId="10" borderId="16" xfId="0" applyNumberFormat="1" applyFont="1" applyFill="1" applyBorder="1" applyAlignment="1">
      <x:alignment horizontal="left" wrapText="1"/>
    </x:xf>
    <x:xf numFmtId="0" fontId="5" fillId="10" borderId="17" xfId="0" applyNumberFormat="1" applyFont="1" applyFill="1" applyBorder="1" applyAlignment="1">
      <x:alignment horizontal="left" wrapText="1"/>
    </x:xf>
    <x:xf numFmtId="0" fontId="5" fillId="10" borderId="18" xfId="0" applyNumberFormat="1" applyFont="1" applyFill="1" applyBorder="1" applyAlignment="1">
      <x:alignment horizontal="left" wrapText="1"/>
    </x:xf>
    <x:xf numFmtId="0" fontId="5" fillId="10" borderId="11" xfId="0" applyNumberFormat="1" applyFont="1" applyFill="1" applyBorder="1" applyAlignment="1">
      <x:alignment horizontal="left" vertical="center" wrapText="1"/>
    </x:xf>
    <x:xf numFmtId="0" fontId="5" fillId="10" borderId="12" xfId="0" applyNumberFormat="1" applyFont="1" applyFill="1" applyBorder="1" applyAlignment="1">
      <x:alignment horizontal="left" vertical="center" wrapText="1"/>
    </x:xf>
    <x:xf numFmtId="0" fontId="5" fillId="10" borderId="13" xfId="0" applyNumberFormat="1" applyFont="1" applyFill="1" applyBorder="1" applyAlignment="1">
      <x:alignment horizontal="left" vertical="center" wrapText="1"/>
    </x:xf>
    <x:xf numFmtId="0" fontId="5" fillId="10" borderId="14" xfId="0" applyNumberFormat="1" applyFont="1" applyFill="1" applyBorder="1" applyAlignment="1">
      <x:alignment horizontal="left" vertical="center" wrapText="1"/>
    </x:xf>
    <x:xf numFmtId="0" fontId="5" fillId="10" borderId="0" xfId="0" applyNumberFormat="1" applyFont="1" applyFill="1" applyBorder="1" applyAlignment="1">
      <x:alignment horizontal="left" vertical="center" wrapText="1"/>
    </x:xf>
    <x:xf numFmtId="0" fontId="5" fillId="10" borderId="15" xfId="0" applyNumberFormat="1" applyFont="1" applyFill="1" applyBorder="1" applyAlignment="1">
      <x:alignment horizontal="left" vertical="center" wrapText="1"/>
    </x:xf>
    <x:xf numFmtId="0" fontId="5" fillId="10" borderId="16" xfId="0" applyNumberFormat="1" applyFont="1" applyFill="1" applyBorder="1" applyAlignment="1">
      <x:alignment horizontal="left" vertical="center" wrapText="1"/>
    </x:xf>
    <x:xf numFmtId="0" fontId="5" fillId="10" borderId="17" xfId="0" applyNumberFormat="1" applyFont="1" applyFill="1" applyBorder="1" applyAlignment="1">
      <x:alignment horizontal="left" vertical="center" wrapText="1"/>
    </x:xf>
    <x:xf numFmtId="0" fontId="5" fillId="10" borderId="18" xfId="0" applyNumberFormat="1" applyFont="1" applyFill="1" applyBorder="1" applyAlignment="1">
      <x:alignment horizontal="left" vertical="center" wrapText="1"/>
    </x:xf>
    <x:xf numFmtId="0" fontId="6" fillId="8" borderId="0" xfId="0" applyNumberFormat="1" applyFont="1" applyFill="1" applyBorder="1"/>
    <x:xf numFmtId="0" fontId="6" fillId="8" borderId="19" xfId="0" applyNumberFormat="1" applyFont="1" applyFill="1" applyBorder="1"/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20" xfId="0" applyNumberFormat="1" applyFont="1" applyFill="1" applyBorder="1"/>
    <x:xf numFmtId="200" fontId="7" fillId="11" borderId="20" xfId="0" applyNumberFormat="1" applyFont="1" applyFill="1" applyBorder="1"/>
    <x:xf numFmtId="0" fontId="0" fillId="12" borderId="0" xfId="0" applyNumberFormat="1" applyFont="1" applyFill="1" applyBorder="1"/>
    <x:xf numFmtId="0" fontId="8" fillId="12" borderId="0" xfId="0" applyNumberFormat="1" applyFont="1" applyFill="1" applyBorder="1"/>
    <x:xf numFmtId="0" fontId="8" fillId="12" borderId="21" xfId="0" applyNumberFormat="1" applyFont="1" applyFill="1" applyBorder="1"/>
    <x:xf numFmtId="200" fontId="8" fillId="12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2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horizontal="center" vertical="center"/>
    </x:xf>
    <x:xf numFmtId="200" fontId="0" fillId="0" borderId="22" xfId="0" applyNumberFormat="1" applyFont="1" applyFill="1" applyBorder="1" applyAlignment="1">
      <x:alignment vertical="center"/>
    </x:xf>
    <x:xf numFmtId="0" fontId="5" fillId="10" borderId="11" xfId="0" applyNumberFormat="1" applyFont="1" applyFill="1" applyBorder="1" applyAlignment="1">
      <x:alignment vertical="center" wrapText="1"/>
    </x:xf>
    <x:xf numFmtId="0" fontId="5" fillId="10" borderId="12" xfId="0" applyNumberFormat="1" applyFont="1" applyFill="1" applyBorder="1" applyAlignment="1">
      <x:alignment vertical="center" wrapText="1"/>
    </x:xf>
    <x:xf numFmtId="0" fontId="5" fillId="10" borderId="13" xfId="0" applyNumberFormat="1" applyFont="1" applyFill="1" applyBorder="1" applyAlignment="1">
      <x:alignment vertical="center" wrapText="1"/>
    </x:xf>
    <x:xf numFmtId="0" fontId="5" fillId="10" borderId="16" xfId="0" applyNumberFormat="1" applyFont="1" applyFill="1" applyBorder="1" applyAlignment="1">
      <x:alignment vertical="center" wrapText="1"/>
    </x:xf>
    <x:xf numFmtId="0" fontId="5" fillId="10" borderId="17" xfId="0" applyNumberFormat="1" applyFont="1" applyFill="1" applyBorder="1" applyAlignment="1">
      <x:alignment vertical="center" wrapText="1"/>
    </x:xf>
    <x:xf numFmtId="0" fontId="5" fillId="10" borderId="1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d5640909d74d57" /><Relationship Type="http://schemas.openxmlformats.org/officeDocument/2006/relationships/theme" Target="/xl/theme/theme1.xml" Id="R10f15b8645af4a97" /><Relationship Type="http://schemas.openxmlformats.org/officeDocument/2006/relationships/sharedStrings" Target="/xl/sharedStrings.xml" Id="R43d8b0d98d014a02" /><Relationship Type="http://schemas.openxmlformats.org/officeDocument/2006/relationships/worksheet" Target="/xl/worksheets/sheet1.xml" Id="R8aceb47236314f9a" /><Relationship Type="http://schemas.openxmlformats.org/officeDocument/2006/relationships/worksheet" Target="/xl/worksheets/sheet2.xml" Id="R098572525c0a4a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17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30" customHeight="1">
      <x:c r="A1" s="4" t="str">
        <x:v>ESCALAS DE RECONOCIMIENTO</x:v>
      </x:c>
      <x:c r="B1" s="4"/>
      <x:c r="C1" s="4"/>
      <x:c r="D1" s="4"/>
      <x:c r="E1" s="4"/>
      <x:c r="F1" s="4"/>
      <x:c r="G1" s="4"/>
      <x:c r="H1" s="4"/>
      <x:c r="J1" s="34" t="str">
        <x:v>LÍNEAS INCLUIDAS</x:v>
      </x:c>
      <x:c r="K1" s="34"/>
      <x:c r="L1" s="34"/>
    </x:row>
    <x:row r="2" ht="28" customHeight="1">
      <x:c r="A2" s="10" t="str">
        <x:v>ESCALA</x:v>
      </x:c>
      <x:c r="B2" s="10" t="str">
        <x:v>LC</x:v>
      </x:c>
      <x:c r="C2" s="10" t="str">
        <x:v>SEGMENTO</x:v>
      </x:c>
      <x:c r="D2" s="10" t="str">
        <x:v>PRECIO</x:v>
      </x:c>
      <x:c r="E2" s="21" t="str">
        <x:v>Gold 10%</x:v>
      </x:c>
      <x:c r="F2" s="22" t="str">
        <x:v>Silver 8%</x:v>
      </x:c>
      <x:c r="G2" s="23" t="str">
        <x:v>Inicial 6%</x:v>
      </x:c>
      <x:c r="H2" s="10" t="str">
        <x:v>Reconocimiento</x:v>
      </x:c>
      <x:c r="J2" s="36" t="str">
        <x:v>Finca Las Moras</x:v>
      </x:c>
      <x:c r="K2" s="37"/>
      <x:c r="L2" s="38"/>
    </x:row>
    <x:row r="3" ht="23" customHeight="1">
      <x:c r="A3" s="24" t="n">
        <x:v>1</x:v>
      </x:c>
      <x:c r="B3" s="14" t="str">
        <x:v>Finca Las Moras</x:v>
      </x:c>
      <x:c r="C3" s="24" t="str">
        <x:v>MEDIO ALTO</x:v>
      </x:c>
      <x:c r="D3" s="29" t="n">
        <x:v>16840</x:v>
      </x:c>
      <x:c r="E3" s="30" t="n">
        <x:v>168401</x:v>
      </x:c>
      <x:c r="F3" s="31" t="n">
        <x:v>210501</x:v>
      </x:c>
      <x:c r="G3" s="32" t="n">
        <x:v>280669</x:v>
      </x:c>
      <x:c r="H3" s="29" t="n">
        <x:v>16840</x:v>
      </x:c>
      <x:c r="J3" s="39" t="str">
        <x:v>ELEMENTOS</x:v>
      </x:c>
      <x:c r="K3" s="35"/>
      <x:c r="L3" s="40"/>
    </x:row>
    <x:row r="4" ht="23" customHeight="1">
      <x:c r="A4" s="24" t="n">
        <x:v>2</x:v>
      </x:c>
      <x:c r="B4" s="14" t="str">
        <x:v>Finca Las Moras</x:v>
      </x:c>
      <x:c r="C4" s="24" t="str">
        <x:v>MEDIO ALTO</x:v>
      </x:c>
      <x:c r="D4" s="29" t="n">
        <x:v>16840</x:v>
      </x:c>
      <x:c r="E4" s="30" t="n">
        <x:v>336802</x:v>
      </x:c>
      <x:c r="F4" s="31" t="n">
        <x:v>421003</x:v>
      </x:c>
      <x:c r="G4" s="32" t="n">
        <x:v>561337</x:v>
      </x:c>
      <x:c r="H4" s="29" t="n">
        <x:v>33680</x:v>
      </x:c>
      <x:c r="J4" s="39" t="str">
        <x:v>Frizze</x:v>
      </x:c>
      <x:c r="K4" s="35"/>
      <x:c r="L4" s="40"/>
    </x:row>
    <x:row r="5" ht="23" customHeight="1">
      <x:c r="A5" s="24" t="n">
        <x:v>3</x:v>
      </x:c>
      <x:c r="B5" s="14" t="str">
        <x:v>Finca Las Moras</x:v>
      </x:c>
      <x:c r="C5" s="24" t="str">
        <x:v>MEDIO ALTO</x:v>
      </x:c>
      <x:c r="D5" s="29" t="n">
        <x:v>16840</x:v>
      </x:c>
      <x:c r="E5" s="30" t="n">
        <x:v>505203</x:v>
      </x:c>
      <x:c r="F5" s="31" t="n">
        <x:v>631504</x:v>
      </x:c>
      <x:c r="G5" s="32" t="n">
        <x:v>842006</x:v>
      </x:c>
      <x:c r="H5" s="29" t="n">
        <x:v>50520</x:v>
      </x:c>
      <x:c r="J5" s="39" t="str">
        <x:v>Antares Lager</x:v>
      </x:c>
      <x:c r="K5" s="35"/>
      <x:c r="L5" s="40"/>
    </x:row>
    <x:row r="6" ht="23" customHeight="1">
      <x:c r="A6" s="24" t="n">
        <x:v>4</x:v>
      </x:c>
      <x:c r="B6" s="14" t="str">
        <x:v>Finca Las Moras</x:v>
      </x:c>
      <x:c r="C6" s="24" t="str">
        <x:v>MEDIO ALTO</x:v>
      </x:c>
      <x:c r="D6" s="29" t="n">
        <x:v>16840</x:v>
      </x:c>
      <x:c r="E6" s="30" t="n">
        <x:v>673605</x:v>
      </x:c>
      <x:c r="F6" s="31" t="n">
        <x:v>842006</x:v>
      </x:c>
      <x:c r="G6" s="32" t="n">
        <x:v>1122674</x:v>
      </x:c>
      <x:c r="H6" s="29" t="n">
        <x:v>67360</x:v>
      </x:c>
      <x:c r="J6" s="41" t="str">
        <x:v>Smirnoff Flavours</x:v>
      </x:c>
      <x:c r="K6" s="42"/>
      <x:c r="L6" s="43"/>
    </x:row>
    <x:row r="7" ht="23" customHeight="1">
      <x:c r="A7" s="24" t="n">
        <x:v>5</x:v>
      </x:c>
      <x:c r="B7" s="14" t="str">
        <x:v>ELEMENTOS</x:v>
      </x:c>
      <x:c r="C7" s="24" t="str">
        <x:v>ALTO</x:v>
      </x:c>
      <x:c r="D7" s="29" t="n">
        <x:v>21777</x:v>
      </x:c>
      <x:c r="E7" s="30" t="n">
        <x:v>891374</x:v>
      </x:c>
      <x:c r="F7" s="31" t="n">
        <x:v>1114217</x:v>
      </x:c>
      <x:c r="G7" s="32" t="n">
        <x:v>1485623</x:v>
      </x:c>
      <x:c r="H7" s="29" t="n">
        <x:v>89137</x:v>
      </x:c>
    </x:row>
    <x:row r="8" ht="23" customHeight="1">
      <x:c r="A8" s="24" t="n">
        <x:v>6</x:v>
      </x:c>
      <x:c r="B8" s="14" t="str">
        <x:v>ELEMENTOS</x:v>
      </x:c>
      <x:c r="C8" s="24" t="str">
        <x:v>ALTO</x:v>
      </x:c>
      <x:c r="D8" s="29" t="n">
        <x:v>21777</x:v>
      </x:c>
      <x:c r="E8" s="30" t="n">
        <x:v>1109143</x:v>
      </x:c>
      <x:c r="F8" s="31" t="n">
        <x:v>1386429</x:v>
      </x:c>
      <x:c r="G8" s="32"/>
      <x:c r="H8" s="29" t="n">
        <x:v>110914</x:v>
      </x:c>
      <x:c r="J8" s="46" t="str">
        <x:v>REGLA DE EXCLUSIÓN</x:v>
      </x:c>
      <x:c r="K8" s="46"/>
      <x:c r="L8" s="46"/>
    </x:row>
    <x:row r="9" ht="26" customHeight="1">
      <x:c r="A9" s="24" t="n">
        <x:v>7</x:v>
      </x:c>
      <x:c r="B9" s="14" t="str">
        <x:v>ELEMENTOS</x:v>
      </x:c>
      <x:c r="C9" s="24" t="str">
        <x:v>ALTO</x:v>
      </x:c>
      <x:c r="D9" s="29" t="n">
        <x:v>21777</x:v>
      </x:c>
      <x:c r="E9" s="30" t="n">
        <x:v>1326912</x:v>
      </x:c>
      <x:c r="F9" s="31" t="n">
        <x:v>1658640</x:v>
      </x:c>
      <x:c r="G9" s="32"/>
      <x:c r="H9" s="29" t="n">
        <x:v>132691</x:v>
      </x:c>
      <x:c r="J9" s="75" t="str">
        <x:v>Las ventas generadas con Vermouth Cinzano no suman para alcanzar ninguna de estas escalas.</x:v>
      </x:c>
      <x:c r="K9" s="76"/>
      <x:c r="L9" s="77"/>
    </x:row>
    <x:row r="10" ht="26" customHeight="1">
      <x:c r="A10" s="24" t="n">
        <x:v>8</x:v>
      </x:c>
      <x:c r="B10" s="14" t="str">
        <x:v>ELEMENTOS</x:v>
      </x:c>
      <x:c r="C10" s="24" t="str">
        <x:v>ALTO</x:v>
      </x:c>
      <x:c r="D10" s="29" t="n">
        <x:v>21777</x:v>
      </x:c>
      <x:c r="E10" s="30" t="n">
        <x:v>1544681</x:v>
      </x:c>
      <x:c r="F10" s="31" t="n">
        <x:v>1930851</x:v>
      </x:c>
      <x:c r="G10" s="32"/>
      <x:c r="H10" s="29" t="n">
        <x:v>154468</x:v>
      </x:c>
      <x:c r="J10" s="78"/>
      <x:c r="K10" s="79"/>
      <x:c r="L10" s="80"/>
    </x:row>
    <x:row r="11" ht="26" customHeight="1">
      <x:c r="A11" s="24" t="n">
        <x:v>9</x:v>
      </x:c>
      <x:c r="B11" s="14" t="str">
        <x:v>Frizze</x:v>
      </x:c>
      <x:c r="C11" s="24" t="str">
        <x:v>RTD</x:v>
      </x:c>
      <x:c r="D11" s="29" t="n">
        <x:v>12168</x:v>
      </x:c>
      <x:c r="E11" s="30" t="n">
        <x:v>1666361</x:v>
      </x:c>
      <x:c r="F11" s="31" t="n">
        <x:v>2082951</x:v>
      </x:c>
      <x:c r="G11" s="32"/>
      <x:c r="H11" s="29" t="n">
        <x:v>166636</x:v>
      </x:c>
      <x:c r="J11" s="81"/>
      <x:c r="K11" s="82"/>
      <x:c r="L11" s="83"/>
    </x:row>
    <x:row r="12" ht="23" customHeight="1">
      <x:c r="A12" s="24" t="n">
        <x:v>10</x:v>
      </x:c>
      <x:c r="B12" s="14" t="str">
        <x:v>Antares Lager</x:v>
      </x:c>
      <x:c r="C12" s="24" t="str">
        <x:v>ANTARES</x:v>
      </x:c>
      <x:c r="D12" s="29" t="n">
        <x:v>13402</x:v>
      </x:c>
      <x:c r="E12" s="30" t="n">
        <x:v>1800386</x:v>
      </x:c>
      <x:c r="F12" s="31"/>
      <x:c r="G12" s="32"/>
      <x:c r="H12" s="29" t="n">
        <x:v>180039</x:v>
      </x:c>
    </x:row>
    <x:row r="13" ht="23" customHeight="1">
      <x:c r="A13" s="24" t="n">
        <x:v>11</x:v>
      </x:c>
      <x:c r="B13" s="14" t="str">
        <x:v>Smirnoff Flavours</x:v>
      </x:c>
      <x:c r="C13" s="24" t="str">
        <x:v>SPIRITS</x:v>
      </x:c>
      <x:c r="D13" s="29" t="n">
        <x:v>41675</x:v>
      </x:c>
      <x:c r="E13" s="30" t="n">
        <x:v>2217134</x:v>
      </x:c>
      <x:c r="F13" s="31"/>
      <x:c r="G13" s="32"/>
      <x:c r="H13" s="29" t="n">
        <x:v>221713</x:v>
      </x:c>
    </x:row>
    <x:row r="14" ht="23" customHeight="1">
      <x:c r="A14" s="24" t="n">
        <x:v>12</x:v>
      </x:c>
      <x:c r="B14" s="14" t="str">
        <x:v>Smirnoff Flavours</x:v>
      </x:c>
      <x:c r="C14" s="24" t="str">
        <x:v>SPIRITS</x:v>
      </x:c>
      <x:c r="D14" s="29" t="n">
        <x:v>41675</x:v>
      </x:c>
      <x:c r="E14" s="30" t="n">
        <x:v>2633883</x:v>
      </x:c>
      <x:c r="F14" s="31"/>
      <x:c r="G14" s="32"/>
      <x:c r="H14" s="29" t="n">
        <x:v>263388</x:v>
      </x:c>
    </x:row>
  </x:sheetData>
  <x:mergeCells>
    <x:mergeCell ref="A1:H1"/>
    <x:mergeCell ref="J1:L1"/>
    <x:mergeCell ref="J8:L8"/>
    <x:mergeCell ref="J9:L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17" hidden="0" customWidth="1"/>
    <x:col min="4" max="4" width="17" hidden="0" customWidth="1"/>
    <x:col min="5" max="5" width="17" hidden="0" customWidth="1"/>
    <x:col min="6" max="6" width="19" hidden="0" customWidth="1"/>
  </x:cols>
  <x:sheetData>
    <x:row r="1" ht="30" customHeight="1">
      <x:c r="A1" s="4" t="str">
        <x:v>CONTROL DE VENTAS COMPUTABLES</x:v>
      </x:c>
      <x:c r="B1" s="4"/>
      <x:c r="C1" s="4"/>
      <x:c r="D1" s="4"/>
      <x:c r="E1" s="4"/>
      <x:c r="F1" s="4"/>
    </x:row>
    <x:row r="3">
      <x:c r="A3" s="85" t="str">
        <x:v>Venta total del período</x:v>
      </x:c>
      <x:c r="B3" s="89" t="n">
        <x:v>0</x:v>
      </x:c>
    </x:row>
    <x:row r="4">
      <x:c r="A4" s="85" t="str">
        <x:v>Venta de Vermouth Cinzano</x:v>
      </x:c>
      <x:c r="B4" s="89" t="n">
        <x:v>0</x:v>
      </x:c>
    </x:row>
    <x:row r="5">
      <x:c r="A5" s="85" t="str">
        <x:v>VENTA COMPUTABLE PARA ESCALAS</x:v>
      </x:c>
      <x:c r="B5" s="93" t="n">
        <x:f>MAX(0,B3-B4)</x:f>
        <x:v>0</x:v>
      </x:c>
    </x:row>
    <x:row r="7" ht="30" customHeight="1">
      <x:c r="A7" s="9" t="str">
        <x:v>Escala</x:v>
      </x:c>
      <x:c r="B7" s="9" t="str">
        <x:v>LC</x:v>
      </x:c>
      <x:c r="C7" s="9" t="str">
        <x:v>Gold 10%</x:v>
      </x:c>
      <x:c r="D7" s="9" t="str">
        <x:v>Silver 8%</x:v>
      </x:c>
      <x:c r="E7" s="9" t="str">
        <x:v>Inicial 6%</x:v>
      </x:c>
      <x:c r="F7" s="9" t="str">
        <x:v>Venta computable</x:v>
      </x:c>
    </x:row>
    <x:row r="8">
      <x:c r="A8" s="96" t="n">
        <x:v>1</x:v>
      </x:c>
      <x:c r="B8" s="95" t="str">
        <x:v>Finca Las Moras</x:v>
      </x:c>
      <x:c r="C8" s="95" t="str">
        <x:f>IF('Escalas'!E3="","",IF($B$5&gt;='Escalas'!E3,"CUMPLE","NO CUMPLE"))</x:f>
        <x:v>NO CUMPLE</x:v>
      </x:c>
      <x:c r="D8" s="95" t="str">
        <x:f>IF('Escalas'!F3="","",IF($B$5&gt;='Escalas'!F3,"CUMPLE","NO CUMPLE"))</x:f>
        <x:v>NO CUMPLE</x:v>
      </x:c>
      <x:c r="E8" s="95" t="str">
        <x:f>IF('Escalas'!G3="","",IF($B$5&gt;='Escalas'!G3,"CUMPLE","NO CUMPLE"))</x:f>
        <x:v>NO CUMPLE</x:v>
      </x:c>
      <x:c r="F8" s="97" t="n">
        <x:f>$B$5</x:f>
        <x:v>0</x:v>
      </x:c>
    </x:row>
    <x:row r="9">
      <x:c r="A9" s="96" t="n">
        <x:v>2</x:v>
      </x:c>
      <x:c r="B9" s="95" t="str">
        <x:v>Finca Las Moras</x:v>
      </x:c>
      <x:c r="C9" s="95" t="str">
        <x:f>IF('Escalas'!E4="","",IF($B$5&gt;='Escalas'!E4,"CUMPLE","NO CUMPLE"))</x:f>
        <x:v>NO CUMPLE</x:v>
      </x:c>
      <x:c r="D9" s="95" t="str">
        <x:f>IF('Escalas'!F4="","",IF($B$5&gt;='Escalas'!F4,"CUMPLE","NO CUMPLE"))</x:f>
        <x:v>NO CUMPLE</x:v>
      </x:c>
      <x:c r="E9" s="95" t="str">
        <x:f>IF('Escalas'!G4="","",IF($B$5&gt;='Escalas'!G4,"CUMPLE","NO CUMPLE"))</x:f>
        <x:v>NO CUMPLE</x:v>
      </x:c>
      <x:c r="F9" s="97" t="n">
        <x:f>$B$5</x:f>
        <x:v>0</x:v>
      </x:c>
    </x:row>
    <x:row r="10">
      <x:c r="A10" s="96" t="n">
        <x:v>3</x:v>
      </x:c>
      <x:c r="B10" s="95" t="str">
        <x:v>Finca Las Moras</x:v>
      </x:c>
      <x:c r="C10" s="95" t="str">
        <x:f>IF('Escalas'!E5="","",IF($B$5&gt;='Escalas'!E5,"CUMPLE","NO CUMPLE"))</x:f>
        <x:v>NO CUMPLE</x:v>
      </x:c>
      <x:c r="D10" s="95" t="str">
        <x:f>IF('Escalas'!F5="","",IF($B$5&gt;='Escalas'!F5,"CUMPLE","NO CUMPLE"))</x:f>
        <x:v>NO CUMPLE</x:v>
      </x:c>
      <x:c r="E10" s="95" t="str">
        <x:f>IF('Escalas'!G5="","",IF($B$5&gt;='Escalas'!G5,"CUMPLE","NO CUMPLE"))</x:f>
        <x:v>NO CUMPLE</x:v>
      </x:c>
      <x:c r="F10" s="97" t="n">
        <x:f>$B$5</x:f>
        <x:v>0</x:v>
      </x:c>
    </x:row>
    <x:row r="11">
      <x:c r="A11" s="96" t="n">
        <x:v>4</x:v>
      </x:c>
      <x:c r="B11" s="95" t="str">
        <x:v>Finca Las Moras</x:v>
      </x:c>
      <x:c r="C11" s="95" t="str">
        <x:f>IF('Escalas'!E6="","",IF($B$5&gt;='Escalas'!E6,"CUMPLE","NO CUMPLE"))</x:f>
        <x:v>NO CUMPLE</x:v>
      </x:c>
      <x:c r="D11" s="95" t="str">
        <x:f>IF('Escalas'!F6="","",IF($B$5&gt;='Escalas'!F6,"CUMPLE","NO CUMPLE"))</x:f>
        <x:v>NO CUMPLE</x:v>
      </x:c>
      <x:c r="E11" s="95" t="str">
        <x:f>IF('Escalas'!G6="","",IF($B$5&gt;='Escalas'!G6,"CUMPLE","NO CUMPLE"))</x:f>
        <x:v>NO CUMPLE</x:v>
      </x:c>
      <x:c r="F11" s="97" t="n">
        <x:f>$B$5</x:f>
        <x:v>0</x:v>
      </x:c>
    </x:row>
    <x:row r="12">
      <x:c r="A12" s="96" t="n">
        <x:v>5</x:v>
      </x:c>
      <x:c r="B12" s="95" t="str">
        <x:v>ELEMENTOS</x:v>
      </x:c>
      <x:c r="C12" s="95" t="str">
        <x:f>IF('Escalas'!E7="","",IF($B$5&gt;='Escalas'!E7,"CUMPLE","NO CUMPLE"))</x:f>
        <x:v>NO CUMPLE</x:v>
      </x:c>
      <x:c r="D12" s="95" t="str">
        <x:f>IF('Escalas'!F7="","",IF($B$5&gt;='Escalas'!F7,"CUMPLE","NO CUMPLE"))</x:f>
        <x:v>NO CUMPLE</x:v>
      </x:c>
      <x:c r="E12" s="95" t="str">
        <x:f>IF('Escalas'!G7="","",IF($B$5&gt;='Escalas'!G7,"CUMPLE","NO CUMPLE"))</x:f>
        <x:v>NO CUMPLE</x:v>
      </x:c>
      <x:c r="F12" s="97" t="n">
        <x:f>$B$5</x:f>
        <x:v>0</x:v>
      </x:c>
    </x:row>
    <x:row r="13">
      <x:c r="A13" s="96" t="n">
        <x:v>6</x:v>
      </x:c>
      <x:c r="B13" s="95" t="str">
        <x:v>ELEMENTOS</x:v>
      </x:c>
      <x:c r="C13" s="95" t="str">
        <x:f>IF('Escalas'!E8="","",IF($B$5&gt;='Escalas'!E8,"CUMPLE","NO CUMPLE"))</x:f>
        <x:v>NO CUMPLE</x:v>
      </x:c>
      <x:c r="D13" s="95" t="str">
        <x:f>IF('Escalas'!F8="","",IF($B$5&gt;='Escalas'!F8,"CUMPLE","NO CUMPLE"))</x:f>
        <x:v>NO CUMPLE</x:v>
      </x:c>
      <x:c r="E13" s="95" t="str">
        <x:f>IF('Escalas'!G8="","",IF($B$5&gt;='Escalas'!G8,"CUMPLE","NO CUMPLE"))</x:f>
      </x:c>
      <x:c r="F13" s="97" t="n">
        <x:f>$B$5</x:f>
        <x:v>0</x:v>
      </x:c>
    </x:row>
    <x:row r="14">
      <x:c r="A14" s="96" t="n">
        <x:v>7</x:v>
      </x:c>
      <x:c r="B14" s="95" t="str">
        <x:v>ELEMENTOS</x:v>
      </x:c>
      <x:c r="C14" s="95" t="str">
        <x:f>IF('Escalas'!E9="","",IF($B$5&gt;='Escalas'!E9,"CUMPLE","NO CUMPLE"))</x:f>
        <x:v>NO CUMPLE</x:v>
      </x:c>
      <x:c r="D14" s="95" t="str">
        <x:f>IF('Escalas'!F9="","",IF($B$5&gt;='Escalas'!F9,"CUMPLE","NO CUMPLE"))</x:f>
        <x:v>NO CUMPLE</x:v>
      </x:c>
      <x:c r="E14" s="95" t="str">
        <x:f>IF('Escalas'!G9="","",IF($B$5&gt;='Escalas'!G9,"CUMPLE","NO CUMPLE"))</x:f>
      </x:c>
      <x:c r="F14" s="97" t="n">
        <x:f>$B$5</x:f>
        <x:v>0</x:v>
      </x:c>
    </x:row>
    <x:row r="15">
      <x:c r="A15" s="96" t="n">
        <x:v>8</x:v>
      </x:c>
      <x:c r="B15" s="95" t="str">
        <x:v>ELEMENTOS</x:v>
      </x:c>
      <x:c r="C15" s="95" t="str">
        <x:f>IF('Escalas'!E10="","",IF($B$5&gt;='Escalas'!E10,"CUMPLE","NO CUMPLE"))</x:f>
        <x:v>NO CUMPLE</x:v>
      </x:c>
      <x:c r="D15" s="95" t="str">
        <x:f>IF('Escalas'!F10="","",IF($B$5&gt;='Escalas'!F10,"CUMPLE","NO CUMPLE"))</x:f>
        <x:v>NO CUMPLE</x:v>
      </x:c>
      <x:c r="E15" s="95" t="str">
        <x:f>IF('Escalas'!G10="","",IF($B$5&gt;='Escalas'!G10,"CUMPLE","NO CUMPLE"))</x:f>
      </x:c>
      <x:c r="F15" s="97" t="n">
        <x:f>$B$5</x:f>
        <x:v>0</x:v>
      </x:c>
    </x:row>
    <x:row r="16">
      <x:c r="A16" s="96" t="n">
        <x:v>9</x:v>
      </x:c>
      <x:c r="B16" s="95" t="str">
        <x:v>Frizze</x:v>
      </x:c>
      <x:c r="C16" s="95" t="str">
        <x:f>IF('Escalas'!E11="","",IF($B$5&gt;='Escalas'!E11,"CUMPLE","NO CUMPLE"))</x:f>
        <x:v>NO CUMPLE</x:v>
      </x:c>
      <x:c r="D16" s="95" t="str">
        <x:f>IF('Escalas'!F11="","",IF($B$5&gt;='Escalas'!F11,"CUMPLE","NO CUMPLE"))</x:f>
        <x:v>NO CUMPLE</x:v>
      </x:c>
      <x:c r="E16" s="95" t="str">
        <x:f>IF('Escalas'!G11="","",IF($B$5&gt;='Escalas'!G11,"CUMPLE","NO CUMPLE"))</x:f>
      </x:c>
      <x:c r="F16" s="97" t="n">
        <x:f>$B$5</x:f>
        <x:v>0</x:v>
      </x:c>
    </x:row>
    <x:row r="17">
      <x:c r="A17" s="96" t="n">
        <x:v>10</x:v>
      </x:c>
      <x:c r="B17" s="95" t="str">
        <x:v>Antares Lager</x:v>
      </x:c>
      <x:c r="C17" s="95" t="str">
        <x:f>IF('Escalas'!E12="","",IF($B$5&gt;='Escalas'!E12,"CUMPLE","NO CUMPLE"))</x:f>
        <x:v>NO CUMPLE</x:v>
      </x:c>
      <x:c r="D17" s="95" t="str">
        <x:f>IF('Escalas'!F12="","",IF($B$5&gt;='Escalas'!F12,"CUMPLE","NO CUMPLE"))</x:f>
      </x:c>
      <x:c r="E17" s="95" t="str">
        <x:f>IF('Escalas'!G12="","",IF($B$5&gt;='Escalas'!G12,"CUMPLE","NO CUMPLE"))</x:f>
      </x:c>
      <x:c r="F17" s="97" t="n">
        <x:f>$B$5</x:f>
        <x:v>0</x:v>
      </x:c>
    </x:row>
    <x:row r="18">
      <x:c r="A18" s="96" t="n">
        <x:v>11</x:v>
      </x:c>
      <x:c r="B18" s="95" t="str">
        <x:v>Smirnoff Flavours</x:v>
      </x:c>
      <x:c r="C18" s="95" t="str">
        <x:f>IF('Escalas'!E13="","",IF($B$5&gt;='Escalas'!E13,"CUMPLE","NO CUMPLE"))</x:f>
        <x:v>NO CUMPLE</x:v>
      </x:c>
      <x:c r="D18" s="95" t="str">
        <x:f>IF('Escalas'!F13="","",IF($B$5&gt;='Escalas'!F13,"CUMPLE","NO CUMPLE"))</x:f>
      </x:c>
      <x:c r="E18" s="95" t="str">
        <x:f>IF('Escalas'!G13="","",IF($B$5&gt;='Escalas'!G13,"CUMPLE","NO CUMPLE"))</x:f>
      </x:c>
      <x:c r="F18" s="97" t="n">
        <x:f>$B$5</x:f>
        <x:v>0</x:v>
      </x:c>
    </x:row>
    <x:row r="19">
      <x:c r="A19" s="96" t="n">
        <x:v>12</x:v>
      </x:c>
      <x:c r="B19" s="95" t="str">
        <x:v>Smirnoff Flavours</x:v>
      </x:c>
      <x:c r="C19" s="95" t="str">
        <x:f>IF('Escalas'!E14="","",IF($B$5&gt;='Escalas'!E14,"CUMPLE","NO CUMPLE"))</x:f>
        <x:v>NO CUMPLE</x:v>
      </x:c>
      <x:c r="D19" s="95" t="str">
        <x:f>IF('Escalas'!F14="","",IF($B$5&gt;='Escalas'!F14,"CUMPLE","NO CUMPLE"))</x:f>
      </x:c>
      <x:c r="E19" s="95" t="str">
        <x:f>IF('Escalas'!G14="","",IF($B$5&gt;='Escalas'!G14,"CUMPLE","NO CUMPLE"))</x:f>
      </x:c>
      <x:c r="F19" s="97" t="n">
        <x:f>$B$5</x:f>
        <x:v>0</x:v>
      </x:c>
    </x:row>
    <x:row r="21" ht="28" customHeight="1">
      <x:c r="A21" s="98" t="str">
        <x:v>Regla aplicada: la venta de Vermouth Cinzano se descuenta íntegramente antes de evaluar el cumplimiento de Gold, Silver o Inicial.</x:v>
      </x:c>
      <x:c r="B21" s="99"/>
      <x:c r="C21" s="99"/>
      <x:c r="D21" s="99"/>
      <x:c r="E21" s="99"/>
      <x:c r="F21" s="100"/>
    </x:row>
    <x:row r="22" ht="28" customHeight="1">
      <x:c r="A22" s="101"/>
      <x:c r="B22" s="102"/>
      <x:c r="C22" s="102"/>
      <x:c r="D22" s="102"/>
      <x:c r="E22" s="102"/>
      <x:c r="F22" s="103"/>
    </x:row>
  </x:sheetData>
  <x:mergeCells>
    <x:mergeCell ref="A1:F1"/>
    <x:mergeCell ref="A21:F22"/>
  </x:mergeCells>
  <x:pageMargins left="0.7" right="0.7" top="0.75" bottom="0.75" header="0.3" footer="0.3"/>
</x:worksheet>
</file>