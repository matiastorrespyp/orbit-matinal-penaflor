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979e3f198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CLAUDE" sheetId="1" r:id="Rd16d72a284814d3c"/>
    <x:sheet xmlns:r="http://schemas.openxmlformats.org/officeDocument/2006/relationships" name="MATRIZ_11T_AS" sheetId="2" r:id="R12177998ac2d4026"/>
    <x:sheet xmlns:r="http://schemas.openxmlformats.org/officeDocument/2006/relationships" name="DETALLE_SKU_11T_AS" sheetId="3" r:id="R67d7c5450e514edf"/>
    <x:sheet xmlns:r="http://schemas.openxmlformats.org/officeDocument/2006/relationships" name="ALIAS_NORMALIZACION" sheetId="4" r:id="R8870b40233b34351"/>
    <x:sheet xmlns:r="http://schemas.openxmlformats.org/officeDocument/2006/relationships" name="PROMPT_CLAUDE" sheetId="5" r:id="Rbb5e4924bf5c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43B"/>
      </x:patternFill>
    </x:fill>
    <x:fill>
      <x:patternFill patternType="solid">
        <x:fgColor rgb="FFD9EAF2"/>
      </x:patternFill>
    </x:fill>
    <x:fill>
      <x:patternFill patternType="solid">
        <x:fgColor rgb="FFFFF2CC"/>
      </x:patternFill>
    </x:fill>
    <x:fill>
      <x:patternFill patternType="solid">
        <x:fgColor rgb="FF0F6B8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e89d3199643dc" /><Relationship Type="http://schemas.openxmlformats.org/officeDocument/2006/relationships/theme" Target="/xl/theme/theme1.xml" Id="R95c692f25ca245ca" /><Relationship Type="http://schemas.openxmlformats.org/officeDocument/2006/relationships/sharedStrings" Target="/xl/sharedStrings.xml" Id="Rf9059483bbde49bf" /><Relationship Type="http://schemas.openxmlformats.org/officeDocument/2006/relationships/worksheet" Target="/xl/worksheets/sheet1.xml" Id="Rd16d72a284814d3c" /><Relationship Type="http://schemas.openxmlformats.org/officeDocument/2006/relationships/worksheet" Target="/xl/worksheets/sheet2.xml" Id="R12177998ac2d4026" /><Relationship Type="http://schemas.openxmlformats.org/officeDocument/2006/relationships/worksheet" Target="/xl/worksheets/sheet3.xml" Id="R67d7c5450e514edf" /><Relationship Type="http://schemas.openxmlformats.org/officeDocument/2006/relationships/worksheet" Target="/xl/worksheets/sheet4.xml" Id="R8870b40233b34351" /><Relationship Type="http://schemas.openxmlformats.org/officeDocument/2006/relationships/worksheet" Target="/xl/worksheets/sheet5.xml" Id="Rbb5e4924bf5c4cc3" /></Relationships>
</file>

<file path=xl/tables/table1.xml><?xml version="1.0" encoding="utf-8"?>
<x:table xmlns:x="http://schemas.openxmlformats.org/spreadsheetml/2006/main" id="1" name="TablaMatriz11TAS" displayName="TablaMatriz11TAS" ref="A1:H12" headerRowCount="1">
  <x:tableColumns count="8">
    <x:tableColumn id="1" name="orden"/>
    <x:tableColumn id="2" name="canal"/>
    <x:tableColumn id="3" name="categoria_11t"/>
    <x:tableColumn id="4" name="linea_comercial_11t"/>
    <x:tableColumn id="5" name="cant_sku"/>
    <x:tableColumn id="6" name="codigos_articulo"/>
    <x:tableColumn id="7" name="criterio_inclusion"/>
    <x:tableColumn id="8" name="control_estado"/>
  </x:tableColumns>
  <x:tableStyleInfo name="TableStyleMedium2" showRowStripes="1"/>
</x:table>
</file>

<file path=xl/tables/table2.xml><?xml version="1.0" encoding="utf-8"?>
<x:table xmlns:x="http://schemas.openxmlformats.org/spreadsheetml/2006/main" id="2" name="TablaDetalleSKU11TAS" displayName="TablaDetalleSKU11TAS" ref="A1:Q83" headerRowCount="1">
  <x:tableColumns count="17">
    <x:tableColumn id="1" name="canal_objetivo"/>
    <x:tableColumn id="2" name="categoria_11t"/>
    <x:tableColumn id="3" name="linea_comercial_11t"/>
    <x:tableColumn id="4" name="codigo_articulo"/>
    <x:tableColumn id="5" name="codigo_match_texto"/>
    <x:tableColumn id="6" name="descripcion_articulo"/>
    <x:tableColumn id="7" name="bodega_origen"/>
    <x:tableColumn id="8" name="estado_origen"/>
    <x:tableColumn id="9" name="linea_comercial_origen"/>
    <x:tableColumn id="10" name="categoria_producto_origen"/>
    <x:tableColumn id="11" name="segmento_producto_origen"/>
    <x:tableColumn id="12" name="subsegmento_origen"/>
    <x:tableColumn id="13" name="lts_x_caja"/>
    <x:tableColumn id="14" name="unidades_x_caja"/>
    <x:tableColumn id="15" name="linea_11t_normalizada"/>
    <x:tableColumn id="16" name="linea_origen_normalizada"/>
    <x:tableColumn id="17" name="accion_match"/>
  </x:tableColumns>
  <x:tableStyleInfo name="TableStyleMedium2" showRowStripes="1"/>
</x:table>
</file>

<file path=xl/tables/table3.xml><?xml version="1.0" encoding="utf-8"?>
<x:table xmlns:x="http://schemas.openxmlformats.org/spreadsheetml/2006/main" id="3" name="TablaAliasNormalizacion" displayName="TablaAliasNormalizacion" ref="A1:E38" headerRowCount="1">
  <x:tableColumns count="5">
    <x:tableColumn id="1" name="categoria_11t"/>
    <x:tableColumn id="2" name="linea_comercial_11t"/>
    <x:tableColumn id="3" name="alias_aceptado"/>
    <x:tableColumn id="4" name="uso"/>
    <x:tableColumn id="5" name="prioridad_mat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f58122409341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93e340321943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151a3ea91643e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 ht="22" customHeight="1">
      <x:c r="A1" s="5" t="str">
        <x:v>11 TITULARES AUTOSERVICIOS — MATRIZ DE MATCH POR CÓDIGO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</x:row>
    <x:row r="2" ht="22" customHeight="1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</x:row>
    <x:row r="3" ht="22" customHeight="1">
      <x:c r="A3" s="14" t="str">
        <x:v>Uso del archivo</x:v>
      </x:c>
      <x:c r="B3" s="45" t="str">
        <x:v>Entregar a Claude Code como contrato de datos para recalcular 11 titulares de Autoservicios en Orbit Peñaflor.</x:v>
      </x:c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</x:row>
    <x:row r="4" ht="22" customHeight="1">
      <x:c r="A4" s="14" t="str">
        <x:v>Fuente usada</x:v>
      </x:c>
      <x:c r="B4" s="45" t="str">
        <x:v>productosjulio(1).xlsx · hoja Cluster 25 · columnas Bodega, Estado, Línea Comercial, Código Art., Categoría, Segmento, Descripción, Lts x caja, Un x caja.</x:v>
      </x:c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</x:row>
    <x:row r="5" ht="22" customHeight="1">
      <x:c r="A5" s="14" t="str">
        <x:v>Regla principal</x:v>
      </x:c>
      <x:c r="B5" s="45" t="str">
        <x:v>El match debe hacerse por Código Art. exacto contra el código de artículo/SKU de ventas. No depender de texto si existe código.</x:v>
      </x:c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</x:row>
    <x:row r="6" ht="22" customHeight="1">
      <x:c r="A6" s="14" t="str">
        <x:v>Canal objetivo</x:v>
      </x:c>
      <x:c r="B6" s="45" t="str">
        <x:v>Autoservicios / AS.</x:v>
      </x:c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</x:row>
    <x:row r="7" ht="22" customHeight="1">
      <x:c r="A7" s="14" t="str">
        <x:v>Incluye</x:v>
      </x:c>
      <x:c r="B7" s="45" t="str">
        <x:v>11 titulares AS: VDA, Spirits, Cerveza y RTD según la tabla adjunta por el usuario.</x:v>
      </x:c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</x:row>
    <x:row r="8" ht="22" customHeight="1">
      <x:c r="A8" s="14" t="str">
        <x:v>Precisión</x:v>
      </x:c>
      <x:c r="B8" s="45" t="str">
        <x:v>La hoja DETALLE_SKU_11T_AS contiene una fila por SKU con código numérico y código texto.</x:v>
      </x:c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</x:row>
    <x:row r="9" ht="22" customHeight="1">
      <x:c r="A9" s="14" t="str">
        <x:v>Estados</x:v>
      </x:c>
      <x:c r="B9" s="45" t="str">
        <x:v>Se conservan los estados del producto. Las filas REVISAR_ESTADO no se eliminan: quedan marcadas para auditoría.</x:v>
      </x:c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</x:row>
    <x:row r="10" ht="22" customHeight="1">
      <x:c r="A10" s="14" t="str">
        <x:v>Normalización</x:v>
      </x:c>
      <x:c r="B10" s="45" t="str">
        <x:v>Usar ALIAS_NORMALIZACION solo como respaldo cuando un histórico no tenga código.</x:v>
      </x:c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</x:row>
    <x:row r="11" ht="22" customHeight="1">
      <x:c r="A11" s="14" t="str">
        <x:v>No tocar</x:v>
      </x:c>
      <x:c r="B11" s="45" t="str">
        <x:v>No modificar reglas de OP/Vinotecas ni otros segmentos. Este archivo aplica solamente a Autoservicios.</x:v>
      </x:c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</x:row>
    <x:row r="12" ht="22" customHeight="1">
      <x:c r="A12" s="14" t="str">
        <x:v>Generado</x:v>
      </x:c>
      <x:c r="B12" s="45" t="str">
        <x:v>2026-07-06 13:01:24</x:v>
      </x:c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</x:row>
    <x:row r="13" ht="22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</x:row>
    <x:row r="14" ht="22" customHeight="1">
      <x:c r="A14" s="46" t="str">
        <x:v>Advertencia: si Claude cambia el cálculo de 11T sin filtrar por canal AS, puede romper el reporte de Peñaflor para otros segmentos.</x:v>
      </x:c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</x:row>
    <x:row r="15" ht="22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</x:row>
    <x:row r="16" ht="22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</x:row>
    <x:row r="17" ht="22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</x:row>
    <x:row r="18" ht="22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</x:row>
    <x:row r="19" ht="22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</x:row>
    <x:row r="20" ht="22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</x:row>
  </x:sheetData>
  <x:mergeCells>
    <x:mergeCell ref="A1:H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22" hidden="0" customWidth="1"/>
    <x:col min="5" max="5" width="10" hidden="0" customWidth="1"/>
    <x:col min="6" max="6" width="70" hidden="0" customWidth="1"/>
    <x:col min="7" max="7" width="55" hidden="0" customWidth="1"/>
    <x:col min="8" max="8" width="26" hidden="0" customWidth="1"/>
  </x:cols>
  <x:sheetData>
    <x:row r="1">
      <x:c r="A1" s="32" t="str">
        <x:v>orden</x:v>
      </x:c>
      <x:c r="B1" s="32" t="str">
        <x:v>canal</x:v>
      </x:c>
      <x:c r="C1" s="32" t="str">
        <x:v>categoria_11t</x:v>
      </x:c>
      <x:c r="D1" s="32" t="str">
        <x:v>linea_comercial_11t</x:v>
      </x:c>
      <x:c r="E1" s="32" t="str">
        <x:v>cant_sku</x:v>
      </x:c>
      <x:c r="F1" s="32" t="str">
        <x:v>codigos_articulo</x:v>
      </x:c>
      <x:c r="G1" s="32" t="str">
        <x:v>criterio_inclusion</x:v>
      </x:c>
      <x:c r="H1" s="32" t="str">
        <x:v>control_estado</x:v>
      </x:c>
      <x:c r="I1" s="44"/>
      <x:c r="J1" s="44"/>
      <x:c r="K1" s="44"/>
      <x:c r="L1" s="44"/>
      <x:c r="M1" s="44"/>
      <x:c r="N1" s="44"/>
      <x:c r="O1" s="44"/>
      <x:c r="P1" s="44"/>
      <x:c r="Q1" s="44"/>
    </x:row>
    <x:row r="2">
      <x:c r="A2" s="44" t="n">
        <x:v>1</x:v>
      </x:c>
      <x:c r="B2" s="44" t="str">
        <x:v>AUTOSERVICIOS</x:v>
      </x:c>
      <x:c r="C2" s="44" t="str">
        <x:v>VDA</x:v>
      </x:c>
      <x:c r="D2" s="44" t="str">
        <x:v>ALMA MORA</x:v>
      </x:c>
      <x:c r="E2" s="44" t="n">
        <x:v>11</x:v>
      </x:c>
      <x:c r="F2" s="44" t="str">
        <x:v>74208, 74209, 74887, 74210, 74211, 74827, 74397, 74398, 74437, 74438, 74736</x:v>
      </x:c>
      <x:c r="G2" s="44" t="str">
        <x:v>Línea Comercial origen = Alma Mora</x:v>
      </x:c>
      <x:c r="H2" s="44" t="str">
        <x:v>INCLUIR: 10 | INCLUIR_ALTA: 1</x:v>
      </x:c>
      <x:c r="I2" s="44"/>
      <x:c r="J2" s="44"/>
      <x:c r="K2" s="44"/>
      <x:c r="L2" s="44"/>
      <x:c r="M2" s="44"/>
      <x:c r="N2" s="44"/>
      <x:c r="O2" s="44"/>
      <x:c r="P2" s="44"/>
      <x:c r="Q2" s="44"/>
    </x:row>
    <x:row r="3">
      <x:c r="A3" s="44" t="n">
        <x:v>2</x:v>
      </x:c>
      <x:c r="B3" s="44" t="str">
        <x:v>AUTOSERVICIOS</x:v>
      </x:c>
      <x:c r="C3" s="44" t="str">
        <x:v>VDA</x:v>
      </x:c>
      <x:c r="D3" s="44" t="str">
        <x:v>DADA</x:v>
      </x:c>
      <x:c r="E3" s="44" t="n">
        <x:v>11</x:v>
      </x:c>
      <x:c r="F3" s="44" t="str">
        <x:v>74886, 74393, 74748, 74394, 74395, 74504, 74505, 74569, 74636, 74883, 74714</x:v>
      </x:c>
      <x:c r="G3" s="44" t="str">
        <x:v>Línea Comercial origen = Dada</x:v>
      </x:c>
      <x:c r="H3" s="44" t="str">
        <x:v>REVISAR_ESTADO: 1 | INCLUIR: 9 | INCLUIR_ALTA: 1</x:v>
      </x:c>
      <x:c r="I3" s="44"/>
      <x:c r="J3" s="44"/>
      <x:c r="K3" s="44"/>
      <x:c r="L3" s="44"/>
      <x:c r="M3" s="44"/>
      <x:c r="N3" s="44"/>
      <x:c r="O3" s="44"/>
      <x:c r="P3" s="44"/>
      <x:c r="Q3" s="44"/>
    </x:row>
    <x:row r="4">
      <x:c r="A4" s="44" t="n">
        <x:v>3</x:v>
      </x:c>
      <x:c r="B4" s="44" t="str">
        <x:v>AUTOSERVICIOS</x:v>
      </x:c>
      <x:c r="C4" s="44" t="str">
        <x:v>VDA</x:v>
      </x:c>
      <x:c r="D4" s="44" t="str">
        <x:v>LOS ARBOLES</x:v>
      </x:c>
      <x:c r="E4" s="44" t="n">
        <x:v>6</x:v>
      </x:c>
      <x:c r="F4" s="44" t="str">
        <x:v>80007, 80008, 74882, 74881, 80010, 80089</x:v>
      </x:c>
      <x:c r="G4" s="44" t="str">
        <x:v>Línea Comercial origen = Los Arboles</x:v>
      </x:c>
      <x:c r="H4" s="44" t="str">
        <x:v>INCLUIR: 4 | REVISAR_ESTADO: 2</x:v>
      </x:c>
      <x:c r="I4" s="44"/>
      <x:c r="J4" s="44"/>
      <x:c r="K4" s="44"/>
      <x:c r="L4" s="44"/>
      <x:c r="M4" s="44"/>
      <x:c r="N4" s="44"/>
      <x:c r="O4" s="44"/>
      <x:c r="P4" s="44"/>
      <x:c r="Q4" s="44"/>
    </x:row>
    <x:row r="5">
      <x:c r="A5" s="44" t="n">
        <x:v>4</x:v>
      </x:c>
      <x:c r="B5" s="44" t="str">
        <x:v>AUTOSERVICIOS</x:v>
      </x:c>
      <x:c r="C5" s="44" t="str">
        <x:v>VDA</x:v>
      </x:c>
      <x:c r="D5" s="44" t="str">
        <x:v>TRAPICHE RESERVA</x:v>
      </x:c>
      <x:c r="E5" s="44" t="n">
        <x:v>6</x:v>
      </x:c>
      <x:c r="F5" s="44" t="str">
        <x:v>74415, 74419, 74737, 74420, 74421, 74422</x:v>
      </x:c>
      <x:c r="G5" s="44" t="str">
        <x:v>Línea Comercial origen = Trapiche Reserva</x:v>
      </x:c>
      <x:c r="H5" s="44" t="str">
        <x:v>INCLUIR: 6</x:v>
      </x:c>
      <x:c r="I5" s="44"/>
      <x:c r="J5" s="44"/>
      <x:c r="K5" s="44"/>
      <x:c r="L5" s="44"/>
      <x:c r="M5" s="44"/>
      <x:c r="N5" s="44"/>
      <x:c r="O5" s="44"/>
      <x:c r="P5" s="44"/>
      <x:c r="Q5" s="44"/>
    </x:row>
    <x:row r="6">
      <x:c r="A6" s="44" t="n">
        <x:v>5</x:v>
      </x:c>
      <x:c r="B6" s="44" t="str">
        <x:v>AUTOSERVICIOS</x:v>
      </x:c>
      <x:c r="C6" s="44" t="str">
        <x:v>VDA</x:v>
      </x:c>
      <x:c r="D6" s="44" t="str">
        <x:v>ALARIS</x:v>
      </x:c>
      <x:c r="E6" s="44" t="n">
        <x:v>11</x:v>
      </x:c>
      <x:c r="F6" s="44" t="str">
        <x:v>70750, 70751, 71704, 71716, 71706, 72541, 74058, 74263, 74188, 74840, 74478</x:v>
      </x:c>
      <x:c r="G6" s="44" t="str">
        <x:v>Línea Comercial origen = Alaris</x:v>
      </x:c>
      <x:c r="H6" s="44" t="str">
        <x:v>INCLUIR: 11</x:v>
      </x:c>
      <x:c r="I6" s="44"/>
      <x:c r="J6" s="44"/>
      <x:c r="K6" s="44"/>
      <x:c r="L6" s="44"/>
      <x:c r="M6" s="44"/>
      <x:c r="N6" s="44"/>
      <x:c r="O6" s="44"/>
      <x:c r="P6" s="44"/>
      <x:c r="Q6" s="44"/>
    </x:row>
    <x:row r="7">
      <x:c r="A7" s="44" t="n">
        <x:v>6</x:v>
      </x:c>
      <x:c r="B7" s="44" t="str">
        <x:v>AUTOSERVICIOS</x:v>
      </x:c>
      <x:c r="C7" s="44" t="str">
        <x:v>VDA</x:v>
      </x:c>
      <x:c r="D7" s="44" t="str">
        <x:v>FINCA LAS MORAS</x:v>
      </x:c>
      <x:c r="E7" s="44" t="n">
        <x:v>7</x:v>
      </x:c>
      <x:c r="F7" s="44" t="str">
        <x:v>72857, 72858, 72859, 74735, 74167, 74509, 74510</x:v>
      </x:c>
      <x:c r="G7" s="44" t="str">
        <x:v>Línea Comercial origen = Finca Las Moras</x:v>
      </x:c>
      <x:c r="H7" s="44" t="str">
        <x:v>INCLUIR: 7</x:v>
      </x:c>
      <x:c r="I7" s="44"/>
      <x:c r="J7" s="44"/>
      <x:c r="K7" s="44"/>
      <x:c r="L7" s="44"/>
      <x:c r="M7" s="44"/>
      <x:c r="N7" s="44"/>
      <x:c r="O7" s="44"/>
      <x:c r="P7" s="44"/>
      <x:c r="Q7" s="44"/>
    </x:row>
    <x:row r="8">
      <x:c r="A8" s="44" t="n">
        <x:v>7</x:v>
      </x:c>
      <x:c r="B8" s="44" t="str">
        <x:v>AUTOSERVICIOS</x:v>
      </x:c>
      <x:c r="C8" s="44" t="str">
        <x:v>VDA</x:v>
      </x:c>
      <x:c r="D8" s="44" t="str">
        <x:v>DON DAVID</x:v>
      </x:c>
      <x:c r="E8" s="44" t="n">
        <x:v>9</x:v>
      </x:c>
      <x:c r="F8" s="44" t="str">
        <x:v>41681, 42377, 41682, 42376, 41687, 42373, 42374, 42375, 44389</x:v>
      </x:c>
      <x:c r="G8" s="44" t="str">
        <x:v>Línea origen = Don David y Categoría producto = Vinos del año</x:v>
      </x:c>
      <x:c r="H8" s="44" t="str">
        <x:v>INCLUIR: 8 | REVISAR_ESTADO: 1</x:v>
      </x:c>
      <x:c r="I8" s="44"/>
      <x:c r="J8" s="44"/>
      <x:c r="K8" s="44"/>
      <x:c r="L8" s="44"/>
      <x:c r="M8" s="44"/>
      <x:c r="N8" s="44"/>
      <x:c r="O8" s="44"/>
      <x:c r="P8" s="44"/>
      <x:c r="Q8" s="44"/>
    </x:row>
    <x:row r="9">
      <x:c r="A9" s="44" t="n">
        <x:v>8</x:v>
      </x:c>
      <x:c r="B9" s="44" t="str">
        <x:v>AUTOSERVICIOS</x:v>
      </x:c>
      <x:c r="C9" s="44" t="str">
        <x:v>SPIRITS</x:v>
      </x:c>
      <x:c r="D9" s="44" t="str">
        <x:v>GORDON'S FLAVOURS</x:v>
      </x:c>
      <x:c r="E9" s="44" t="n">
        <x:v>2</x:v>
      </x:c>
      <x:c r="F9" s="44" t="str">
        <x:v>30139, 30134</x:v>
      </x:c>
      <x:c r="G9" s="44" t="str">
        <x:v>Línea origen = Gordon´s Flavors</x:v>
      </x:c>
      <x:c r="H9" s="44" t="str">
        <x:v>INCLUIR: 2</x:v>
      </x:c>
      <x:c r="I9" s="44"/>
      <x:c r="J9" s="44"/>
      <x:c r="K9" s="44"/>
      <x:c r="L9" s="44"/>
      <x:c r="M9" s="44"/>
      <x:c r="N9" s="44"/>
      <x:c r="O9" s="44"/>
      <x:c r="P9" s="44"/>
      <x:c r="Q9" s="44"/>
    </x:row>
    <x:row r="10">
      <x:c r="A10" s="44" t="n">
        <x:v>9</x:v>
      </x:c>
      <x:c r="B10" s="44" t="str">
        <x:v>AUTOSERVICIOS</x:v>
      </x:c>
      <x:c r="C10" s="44" t="str">
        <x:v>SPIRITS</x:v>
      </x:c>
      <x:c r="D10" s="44" t="str">
        <x:v>SMIRNOFF FLAVOURS</x:v>
      </x:c>
      <x:c r="E10" s="44" t="n">
        <x:v>5</x:v>
      </x:c>
      <x:c r="F10" s="44" t="str">
        <x:v>30020, 30022, 30065, 30131, 30135</x:v>
      </x:c>
      <x:c r="G10" s="44" t="str">
        <x:v>Línea origen = Smirnoff Flavors</x:v>
      </x:c>
      <x:c r="H10" s="44" t="str">
        <x:v>INCLUIR: 5</x:v>
      </x:c>
      <x:c r="I10" s="44"/>
      <x:c r="J10" s="44"/>
      <x:c r="K10" s="44"/>
      <x:c r="L10" s="44"/>
      <x:c r="M10" s="44"/>
      <x:c r="N10" s="44"/>
      <x:c r="O10" s="44"/>
      <x:c r="P10" s="44"/>
      <x:c r="Q10" s="44"/>
    </x:row>
    <x:row r="11">
      <x:c r="A11" s="44" t="n">
        <x:v>10</x:v>
      </x:c>
      <x:c r="B11" s="44" t="str">
        <x:v>AUTOSERVICIOS</x:v>
      </x:c>
      <x:c r="C11" s="44" t="str">
        <x:v>CERVEZA</x:v>
      </x:c>
      <x:c r="D11" s="44" t="str">
        <x:v>ANTARES</x:v>
      </x:c>
      <x:c r="E11" s="44" t="n">
        <x:v>11</x:v>
      </x:c>
      <x:c r="F11" s="44" t="str">
        <x:v>60001, 60019, 60018, 60015, 60002, 60017, 60020, 60021, 60022, 60007, 60008</x:v>
      </x:c>
      <x:c r="G11" s="44" t="str">
        <x:v>Bodega origen = Antares; incluye Antares Clásica y Especiales</x:v>
      </x:c>
      <x:c r="H11" s="44" t="str">
        <x:v>INCLUIR: 11</x:v>
      </x:c>
      <x:c r="I11" s="44"/>
      <x:c r="J11" s="44"/>
      <x:c r="K11" s="44"/>
      <x:c r="L11" s="44"/>
      <x:c r="M11" s="44"/>
      <x:c r="N11" s="44"/>
      <x:c r="O11" s="44"/>
      <x:c r="P11" s="44"/>
      <x:c r="Q11" s="44"/>
    </x:row>
    <x:row r="12">
      <x:c r="A12" s="44" t="n">
        <x:v>11</x:v>
      </x:c>
      <x:c r="B12" s="44" t="str">
        <x:v>AUTOSERVICIOS</x:v>
      </x:c>
      <x:c r="C12" s="44" t="str">
        <x:v>RTD</x:v>
      </x:c>
      <x:c r="D12" s="44" t="str">
        <x:v>SMF ICE</x:v>
      </x:c>
      <x:c r="E12" s="44" t="n">
        <x:v>3</x:v>
      </x:c>
      <x:c r="F12" s="44" t="str">
        <x:v>35103, 35104, 35105</x:v>
      </x:c>
      <x:c r="G12" s="44" t="str">
        <x:v>Línea origen = Smirnoff Ice</x:v>
      </x:c>
      <x:c r="H12" s="44" t="str">
        <x:v>INCLUIR: 3</x:v>
      </x:c>
      <x:c r="I12" s="44"/>
      <x:c r="J12" s="44"/>
      <x:c r="K12" s="44"/>
      <x:c r="L12" s="44"/>
      <x:c r="M12" s="44"/>
      <x:c r="N12" s="44"/>
      <x:c r="O12" s="44"/>
      <x:c r="P12" s="44"/>
      <x:c r="Q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</x:row>
  </x:sheetData>
  <x:pageMargins left="0.7" right="0.7" top="0.75" bottom="0.75" header="0.3" footer="0.3"/>
  <x:tableParts count="1">
    <x:tablePart xmlns:r="http://schemas.openxmlformats.org/officeDocument/2006/relationships" r:id="R2cf58122409341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4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14" hidden="0" customWidth="1"/>
    <x:col min="14" max="14" width="1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32" t="str">
        <x:v>canal_objetivo</x:v>
      </x:c>
      <x:c r="B1" s="32" t="str">
        <x:v>categoria_11t</x:v>
      </x:c>
      <x:c r="C1" s="32" t="str">
        <x:v>linea_comercial_11t</x:v>
      </x:c>
      <x:c r="D1" s="32" t="str">
        <x:v>codigo_articulo</x:v>
      </x:c>
      <x:c r="E1" s="32" t="str">
        <x:v>codigo_match_texto</x:v>
      </x:c>
      <x:c r="F1" s="32" t="str">
        <x:v>descripcion_articulo</x:v>
      </x:c>
      <x:c r="G1" s="32" t="str">
        <x:v>bodega_origen</x:v>
      </x:c>
      <x:c r="H1" s="32" t="str">
        <x:v>estado_origen</x:v>
      </x:c>
      <x:c r="I1" s="32" t="str">
        <x:v>linea_comercial_origen</x:v>
      </x:c>
      <x:c r="J1" s="32" t="str">
        <x:v>categoria_producto_origen</x:v>
      </x:c>
      <x:c r="K1" s="32" t="str">
        <x:v>segmento_producto_origen</x:v>
      </x:c>
      <x:c r="L1" s="32" t="str">
        <x:v>subsegmento_origen</x:v>
      </x:c>
      <x:c r="M1" s="32" t="str">
        <x:v>lts_x_caja</x:v>
      </x:c>
      <x:c r="N1" s="32" t="str">
        <x:v>unidades_x_caja</x:v>
      </x:c>
      <x:c r="O1" s="32" t="str">
        <x:v>linea_11t_normalizada</x:v>
      </x:c>
      <x:c r="P1" s="32" t="str">
        <x:v>linea_origen_normalizada</x:v>
      </x:c>
      <x:c r="Q1" s="32" t="str">
        <x:v>accion_match</x:v>
      </x:c>
    </x:row>
    <x:row r="2">
      <x:c r="A2" s="44" t="str">
        <x:v>AUTOSERVICIOS</x:v>
      </x:c>
      <x:c r="B2" s="44" t="str">
        <x:v>VDA</x:v>
      </x:c>
      <x:c r="C2" s="44" t="str">
        <x:v>ALMA MORA</x:v>
      </x:c>
      <x:c r="D2" s="50" t="n">
        <x:v>74208</x:v>
      </x:c>
      <x:c r="E2" s="51" t="str">
        <x:v>74208</x:v>
      </x:c>
      <x:c r="F2" s="44" t="str">
        <x:v>ALMA MORA CABSAUV6X750</x:v>
      </x:c>
      <x:c r="G2" s="44" t="str">
        <x:v>Finca Las Moras</x:v>
      </x:c>
      <x:c r="H2" s="44" t="str">
        <x:v>Vigente</x:v>
      </x:c>
      <x:c r="I2" s="44" t="str">
        <x:v>Alma Mora</x:v>
      </x:c>
      <x:c r="J2" s="44" t="str">
        <x:v>Vinos del año</x:v>
      </x:c>
      <x:c r="K2" s="44" t="str">
        <x:v>Alto</x:v>
      </x:c>
      <x:c r="L2" s="44"/>
      <x:c r="M2" s="44" t="n">
        <x:v>4.5</x:v>
      </x:c>
      <x:c r="N2" s="44" t="n">
        <x:v>6</x:v>
      </x:c>
      <x:c r="O2" s="44" t="str">
        <x:v>ALMA MORA</x:v>
      </x:c>
      <x:c r="P2" s="44" t="str">
        <x:v>ALMA MORA</x:v>
      </x:c>
      <x:c r="Q2" s="44" t="str">
        <x:v>INCLUIR</x:v>
      </x:c>
    </x:row>
    <x:row r="3">
      <x:c r="A3" s="44" t="str">
        <x:v>AUTOSERVICIOS</x:v>
      </x:c>
      <x:c r="B3" s="44" t="str">
        <x:v>VDA</x:v>
      </x:c>
      <x:c r="C3" s="44" t="str">
        <x:v>ALMA MORA</x:v>
      </x:c>
      <x:c r="D3" s="50" t="n">
        <x:v>74209</x:v>
      </x:c>
      <x:c r="E3" s="51" t="str">
        <x:v>74209</x:v>
      </x:c>
      <x:c r="F3" s="44" t="str">
        <x:v>ALMA MORA SYRAH 6X750</x:v>
      </x:c>
      <x:c r="G3" s="44" t="str">
        <x:v>Finca Las Moras</x:v>
      </x:c>
      <x:c r="H3" s="44" t="str">
        <x:v>Vigente</x:v>
      </x:c>
      <x:c r="I3" s="44" t="str">
        <x:v>Alma Mora</x:v>
      </x:c>
      <x:c r="J3" s="44" t="str">
        <x:v>Vinos del año</x:v>
      </x:c>
      <x:c r="K3" s="44" t="str">
        <x:v>Alto</x:v>
      </x:c>
      <x:c r="L3" s="44"/>
      <x:c r="M3" s="44" t="n">
        <x:v>4.5</x:v>
      </x:c>
      <x:c r="N3" s="44" t="n">
        <x:v>6</x:v>
      </x:c>
      <x:c r="O3" s="44" t="str">
        <x:v>ALMA MORA</x:v>
      </x:c>
      <x:c r="P3" s="44" t="str">
        <x:v>ALMA MORA</x:v>
      </x:c>
      <x:c r="Q3" s="44" t="str">
        <x:v>INCLUIR</x:v>
      </x:c>
    </x:row>
    <x:row r="4">
      <x:c r="A4" s="44" t="str">
        <x:v>AUTOSERVICIOS</x:v>
      </x:c>
      <x:c r="B4" s="44" t="str">
        <x:v>VDA</x:v>
      </x:c>
      <x:c r="C4" s="44" t="str">
        <x:v>ALMA MORA</x:v>
      </x:c>
      <x:c r="D4" s="50" t="n">
        <x:v>74210</x:v>
      </x:c>
      <x:c r="E4" s="51" t="str">
        <x:v>74210</x:v>
      </x:c>
      <x:c r="F4" s="44" t="str">
        <x:v>ALMA MORA MALBEC 6X750</x:v>
      </x:c>
      <x:c r="G4" s="44" t="str">
        <x:v>Finca Las Moras</x:v>
      </x:c>
      <x:c r="H4" s="44" t="str">
        <x:v>Vigente</x:v>
      </x:c>
      <x:c r="I4" s="44" t="str">
        <x:v>Alma Mora</x:v>
      </x:c>
      <x:c r="J4" s="44" t="str">
        <x:v>Vinos del año</x:v>
      </x:c>
      <x:c r="K4" s="44" t="str">
        <x:v>Alto</x:v>
      </x:c>
      <x:c r="L4" s="44"/>
      <x:c r="M4" s="44" t="n">
        <x:v>4.5</x:v>
      </x:c>
      <x:c r="N4" s="44" t="n">
        <x:v>6</x:v>
      </x:c>
      <x:c r="O4" s="44" t="str">
        <x:v>ALMA MORA</x:v>
      </x:c>
      <x:c r="P4" s="44" t="str">
        <x:v>ALMA MORA</x:v>
      </x:c>
      <x:c r="Q4" s="44" t="str">
        <x:v>INCLUIR</x:v>
      </x:c>
    </x:row>
    <x:row r="5">
      <x:c r="A5" s="44" t="str">
        <x:v>AUTOSERVICIOS</x:v>
      </x:c>
      <x:c r="B5" s="44" t="str">
        <x:v>VDA</x:v>
      </x:c>
      <x:c r="C5" s="44" t="str">
        <x:v>ALMA MORA</x:v>
      </x:c>
      <x:c r="D5" s="50" t="n">
        <x:v>74211</x:v>
      </x:c>
      <x:c r="E5" s="51" t="str">
        <x:v>74211</x:v>
      </x:c>
      <x:c r="F5" s="44" t="str">
        <x:v>ALMA MORA CHARD 6X750</x:v>
      </x:c>
      <x:c r="G5" s="44" t="str">
        <x:v>Finca Las Moras</x:v>
      </x:c>
      <x:c r="H5" s="44" t="str">
        <x:v>Vigente</x:v>
      </x:c>
      <x:c r="I5" s="44" t="str">
        <x:v>Alma Mora</x:v>
      </x:c>
      <x:c r="J5" s="44" t="str">
        <x:v>Vinos del año</x:v>
      </x:c>
      <x:c r="K5" s="44" t="str">
        <x:v>Alto</x:v>
      </x:c>
      <x:c r="L5" s="44"/>
      <x:c r="M5" s="44" t="n">
        <x:v>4.5</x:v>
      </x:c>
      <x:c r="N5" s="44" t="n">
        <x:v>6</x:v>
      </x:c>
      <x:c r="O5" s="44" t="str">
        <x:v>ALMA MORA</x:v>
      </x:c>
      <x:c r="P5" s="44" t="str">
        <x:v>ALMA MORA</x:v>
      </x:c>
      <x:c r="Q5" s="44" t="str">
        <x:v>INCLUIR</x:v>
      </x:c>
    </x:row>
    <x:row r="6">
      <x:c r="A6" s="44" t="str">
        <x:v>AUTOSERVICIOS</x:v>
      </x:c>
      <x:c r="B6" s="44" t="str">
        <x:v>VDA</x:v>
      </x:c>
      <x:c r="C6" s="44" t="str">
        <x:v>ALMA MORA</x:v>
      </x:c>
      <x:c r="D6" s="50" t="n">
        <x:v>74397</x:v>
      </x:c>
      <x:c r="E6" s="51" t="str">
        <x:v>74397</x:v>
      </x:c>
      <x:c r="F6" s="44" t="str">
        <x:v>ALMA MORA VIOGN DLCE 6X750</x:v>
      </x:c>
      <x:c r="G6" s="44" t="str">
        <x:v>Finca Las Moras</x:v>
      </x:c>
      <x:c r="H6" s="44" t="str">
        <x:v>Vigente</x:v>
      </x:c>
      <x:c r="I6" s="44" t="str">
        <x:v>Alma Mora</x:v>
      </x:c>
      <x:c r="J6" s="44" t="str">
        <x:v>Vinos del año</x:v>
      </x:c>
      <x:c r="K6" s="44" t="str">
        <x:v>Alto</x:v>
      </x:c>
      <x:c r="L6" s="44"/>
      <x:c r="M6" s="44" t="n">
        <x:v>4.5</x:v>
      </x:c>
      <x:c r="N6" s="44" t="n">
        <x:v>6</x:v>
      </x:c>
      <x:c r="O6" s="44" t="str">
        <x:v>ALMA MORA</x:v>
      </x:c>
      <x:c r="P6" s="44" t="str">
        <x:v>ALMA MORA</x:v>
      </x:c>
      <x:c r="Q6" s="44" t="str">
        <x:v>INCLUIR</x:v>
      </x:c>
    </x:row>
    <x:row r="7">
      <x:c r="A7" s="44" t="str">
        <x:v>AUTOSERVICIOS</x:v>
      </x:c>
      <x:c r="B7" s="44" t="str">
        <x:v>VDA</x:v>
      </x:c>
      <x:c r="C7" s="44" t="str">
        <x:v>ALMA MORA</x:v>
      </x:c>
      <x:c r="D7" s="50" t="n">
        <x:v>74398</x:v>
      </x:c>
      <x:c r="E7" s="51" t="str">
        <x:v>74398</x:v>
      </x:c>
      <x:c r="F7" s="44" t="str">
        <x:v>ALMA MORA SYRAH ROSE 6X750</x:v>
      </x:c>
      <x:c r="G7" s="44" t="str">
        <x:v>Finca Las Moras</x:v>
      </x:c>
      <x:c r="H7" s="44" t="str">
        <x:v>Vigente</x:v>
      </x:c>
      <x:c r="I7" s="44" t="str">
        <x:v>Alma Mora</x:v>
      </x:c>
      <x:c r="J7" s="44" t="str">
        <x:v>Vinos del año</x:v>
      </x:c>
      <x:c r="K7" s="44" t="str">
        <x:v>Alto</x:v>
      </x:c>
      <x:c r="L7" s="44"/>
      <x:c r="M7" s="44" t="n">
        <x:v>4.5</x:v>
      </x:c>
      <x:c r="N7" s="44" t="n">
        <x:v>6</x:v>
      </x:c>
      <x:c r="O7" s="44" t="str">
        <x:v>ALMA MORA</x:v>
      </x:c>
      <x:c r="P7" s="44" t="str">
        <x:v>ALMA MORA</x:v>
      </x:c>
      <x:c r="Q7" s="44" t="str">
        <x:v>INCLUIR</x:v>
      </x:c>
    </x:row>
    <x:row r="8">
      <x:c r="A8" s="44" t="str">
        <x:v>AUTOSERVICIOS</x:v>
      </x:c>
      <x:c r="B8" s="44" t="str">
        <x:v>VDA</x:v>
      </x:c>
      <x:c r="C8" s="44" t="str">
        <x:v>ALMA MORA</x:v>
      </x:c>
      <x:c r="D8" s="50" t="n">
        <x:v>74437</x:v>
      </x:c>
      <x:c r="E8" s="51" t="str">
        <x:v>74437</x:v>
      </x:c>
      <x:c r="F8" s="44" t="str">
        <x:v>ALMA MORA BLEND TINTO 6X750</x:v>
      </x:c>
      <x:c r="G8" s="44" t="str">
        <x:v>Finca Las Moras</x:v>
      </x:c>
      <x:c r="H8" s="44" t="str">
        <x:v>Vigente</x:v>
      </x:c>
      <x:c r="I8" s="44" t="str">
        <x:v>Alma Mora</x:v>
      </x:c>
      <x:c r="J8" s="44" t="str">
        <x:v>Vinos del año</x:v>
      </x:c>
      <x:c r="K8" s="44" t="str">
        <x:v>Alto</x:v>
      </x:c>
      <x:c r="L8" s="44"/>
      <x:c r="M8" s="44" t="n">
        <x:v>4.5</x:v>
      </x:c>
      <x:c r="N8" s="44" t="n">
        <x:v>6</x:v>
      </x:c>
      <x:c r="O8" s="44" t="str">
        <x:v>ALMA MORA</x:v>
      </x:c>
      <x:c r="P8" s="44" t="str">
        <x:v>ALMA MORA</x:v>
      </x:c>
      <x:c r="Q8" s="44" t="str">
        <x:v>INCLUIR</x:v>
      </x:c>
    </x:row>
    <x:row r="9">
      <x:c r="A9" s="44" t="str">
        <x:v>AUTOSERVICIOS</x:v>
      </x:c>
      <x:c r="B9" s="44" t="str">
        <x:v>VDA</x:v>
      </x:c>
      <x:c r="C9" s="44" t="str">
        <x:v>ALMA MORA</x:v>
      </x:c>
      <x:c r="D9" s="50" t="n">
        <x:v>74438</x:v>
      </x:c>
      <x:c r="E9" s="51" t="str">
        <x:v>74438</x:v>
      </x:c>
      <x:c r="F9" s="44" t="str">
        <x:v>ALMA MORA BLEND BLANCO 6X750</x:v>
      </x:c>
      <x:c r="G9" s="44" t="str">
        <x:v>Finca Las Moras</x:v>
      </x:c>
      <x:c r="H9" s="44" t="str">
        <x:v>Vigente</x:v>
      </x:c>
      <x:c r="I9" s="44" t="str">
        <x:v>Alma Mora</x:v>
      </x:c>
      <x:c r="J9" s="44" t="str">
        <x:v>Vinos del año</x:v>
      </x:c>
      <x:c r="K9" s="44" t="str">
        <x:v>Alto</x:v>
      </x:c>
      <x:c r="L9" s="44"/>
      <x:c r="M9" s="44" t="n">
        <x:v>4.5</x:v>
      </x:c>
      <x:c r="N9" s="44" t="n">
        <x:v>6</x:v>
      </x:c>
      <x:c r="O9" s="44" t="str">
        <x:v>ALMA MORA</x:v>
      </x:c>
      <x:c r="P9" s="44" t="str">
        <x:v>ALMA MORA</x:v>
      </x:c>
      <x:c r="Q9" s="44" t="str">
        <x:v>INCLUIR</x:v>
      </x:c>
    </x:row>
    <x:row r="10">
      <x:c r="A10" s="44" t="str">
        <x:v>AUTOSERVICIOS</x:v>
      </x:c>
      <x:c r="B10" s="44" t="str">
        <x:v>VDA</x:v>
      </x:c>
      <x:c r="C10" s="44" t="str">
        <x:v>ALMA MORA</x:v>
      </x:c>
      <x:c r="D10" s="50" t="n">
        <x:v>74736</x:v>
      </x:c>
      <x:c r="E10" s="51" t="str">
        <x:v>74736</x:v>
      </x:c>
      <x:c r="F10" s="44" t="str">
        <x:v>ALMA MORA MERLOT 6X750</x:v>
      </x:c>
      <x:c r="G10" s="44" t="str">
        <x:v>Finca Las Moras</x:v>
      </x:c>
      <x:c r="H10" s="44" t="str">
        <x:v>Vigente</x:v>
      </x:c>
      <x:c r="I10" s="44" t="str">
        <x:v>Alma Mora</x:v>
      </x:c>
      <x:c r="J10" s="44" t="str">
        <x:v>Vinos del año</x:v>
      </x:c>
      <x:c r="K10" s="44" t="str">
        <x:v>Alto</x:v>
      </x:c>
      <x:c r="L10" s="44"/>
      <x:c r="M10" s="44" t="n">
        <x:v>4.5</x:v>
      </x:c>
      <x:c r="N10" s="44" t="n">
        <x:v>6</x:v>
      </x:c>
      <x:c r="O10" s="44" t="str">
        <x:v>ALMA MORA</x:v>
      </x:c>
      <x:c r="P10" s="44" t="str">
        <x:v>ALMA MORA</x:v>
      </x:c>
      <x:c r="Q10" s="44" t="str">
        <x:v>INCLUIR</x:v>
      </x:c>
    </x:row>
    <x:row r="11">
      <x:c r="A11" s="44" t="str">
        <x:v>AUTOSERVICIOS</x:v>
      </x:c>
      <x:c r="B11" s="44" t="str">
        <x:v>VDA</x:v>
      </x:c>
      <x:c r="C11" s="44" t="str">
        <x:v>ALMA MORA</x:v>
      </x:c>
      <x:c r="D11" s="50" t="n">
        <x:v>74827</x:v>
      </x:c>
      <x:c r="E11" s="51" t="str">
        <x:v>74827</x:v>
      </x:c>
      <x:c r="F11" s="44" t="str">
        <x:v>ALMA MORA BLANCO DULCE LOW    6X750</x:v>
      </x:c>
      <x:c r="G11" s="44" t="str">
        <x:v>Finca Las Moras</x:v>
      </x:c>
      <x:c r="H11" s="44" t="str">
        <x:v>Vigente</x:v>
      </x:c>
      <x:c r="I11" s="44" t="str">
        <x:v>Alma Mora</x:v>
      </x:c>
      <x:c r="J11" s="44" t="str">
        <x:v>Vinos del año</x:v>
      </x:c>
      <x:c r="K11" s="44" t="str">
        <x:v>Alto</x:v>
      </x:c>
      <x:c r="L11" s="44"/>
      <x:c r="M11" s="44" t="n">
        <x:v>4.5</x:v>
      </x:c>
      <x:c r="N11" s="44" t="n">
        <x:v>6</x:v>
      </x:c>
      <x:c r="O11" s="44" t="str">
        <x:v>ALMA MORA</x:v>
      </x:c>
      <x:c r="P11" s="44" t="str">
        <x:v>ALMA MORA</x:v>
      </x:c>
      <x:c r="Q11" s="44" t="str">
        <x:v>INCLUIR</x:v>
      </x:c>
    </x:row>
    <x:row r="12">
      <x:c r="A12" s="44" t="str">
        <x:v>AUTOSERVICIOS</x:v>
      </x:c>
      <x:c r="B12" s="44" t="str">
        <x:v>VDA</x:v>
      </x:c>
      <x:c r="C12" s="44" t="str">
        <x:v>ALMA MORA</x:v>
      </x:c>
      <x:c r="D12" s="50" t="n">
        <x:v>74887</x:v>
      </x:c>
      <x:c r="E12" s="51" t="str">
        <x:v>74887</x:v>
      </x:c>
      <x:c r="F12" s="44" t="str">
        <x:v>ALMA MORA MALBEC DULCE LOW 6X750</x:v>
      </x:c>
      <x:c r="G12" s="44" t="str">
        <x:v>Finca Las Moras</x:v>
      </x:c>
      <x:c r="H12" s="44" t="str">
        <x:v>En proceso de alta</x:v>
      </x:c>
      <x:c r="I12" s="44" t="str">
        <x:v>Alma Mora</x:v>
      </x:c>
      <x:c r="J12" s="44" t="str">
        <x:v>Vinos del año</x:v>
      </x:c>
      <x:c r="K12" s="44" t="str">
        <x:v>Alto</x:v>
      </x:c>
      <x:c r="L12" s="44"/>
      <x:c r="M12" s="44" t="n">
        <x:v>4.5</x:v>
      </x:c>
      <x:c r="N12" s="44" t="n">
        <x:v>6</x:v>
      </x:c>
      <x:c r="O12" s="44" t="str">
        <x:v>ALMA MORA</x:v>
      </x:c>
      <x:c r="P12" s="44" t="str">
        <x:v>ALMA MORA</x:v>
      </x:c>
      <x:c r="Q12" s="44" t="str">
        <x:v>INCLUIR_ALTA</x:v>
      </x:c>
    </x:row>
    <x:row r="13">
      <x:c r="A13" s="44" t="str">
        <x:v>AUTOSERVICIOS</x:v>
      </x:c>
      <x:c r="B13" s="44" t="str">
        <x:v>VDA</x:v>
      </x:c>
      <x:c r="C13" s="44" t="str">
        <x:v>DADA</x:v>
      </x:c>
      <x:c r="D13" s="50" t="n">
        <x:v>74393</x:v>
      </x:c>
      <x:c r="E13" s="51" t="str">
        <x:v>74393</x:v>
      </x:c>
      <x:c r="F13" s="44" t="str">
        <x:v>DADA FMORAS N°1 6X750</x:v>
      </x:c>
      <x:c r="G13" s="44" t="str">
        <x:v>Finca Las Moras</x:v>
      </x:c>
      <x:c r="H13" s="44" t="str">
        <x:v>Vigente</x:v>
      </x:c>
      <x:c r="I13" s="44" t="str">
        <x:v>Dada</x:v>
      </x:c>
      <x:c r="J13" s="44" t="str">
        <x:v>Vinos del año</x:v>
      </x:c>
      <x:c r="K13" s="44" t="str">
        <x:v>Alto</x:v>
      </x:c>
      <x:c r="L13" s="44"/>
      <x:c r="M13" s="44" t="n">
        <x:v>4.5</x:v>
      </x:c>
      <x:c r="N13" s="44" t="n">
        <x:v>6</x:v>
      </x:c>
      <x:c r="O13" s="44" t="str">
        <x:v>DADA</x:v>
      </x:c>
      <x:c r="P13" s="44" t="str">
        <x:v>DADA</x:v>
      </x:c>
      <x:c r="Q13" s="44" t="str">
        <x:v>INCLUIR</x:v>
      </x:c>
    </x:row>
    <x:row r="14">
      <x:c r="A14" s="44" t="str">
        <x:v>AUTOSERVICIOS</x:v>
      </x:c>
      <x:c r="B14" s="44" t="str">
        <x:v>VDA</x:v>
      </x:c>
      <x:c r="C14" s="44" t="str">
        <x:v>DADA</x:v>
      </x:c>
      <x:c r="D14" s="50" t="n">
        <x:v>74394</x:v>
      </x:c>
      <x:c r="E14" s="51" t="str">
        <x:v>74394</x:v>
      </x:c>
      <x:c r="F14" s="44" t="str">
        <x:v>DADA FMORAS N°3 6X750</x:v>
      </x:c>
      <x:c r="G14" s="44" t="str">
        <x:v>Finca Las Moras</x:v>
      </x:c>
      <x:c r="H14" s="44" t="str">
        <x:v>Vigente</x:v>
      </x:c>
      <x:c r="I14" s="44" t="str">
        <x:v>Dada</x:v>
      </x:c>
      <x:c r="J14" s="44" t="str">
        <x:v>Vinos del año</x:v>
      </x:c>
      <x:c r="K14" s="44" t="str">
        <x:v>Alto</x:v>
      </x:c>
      <x:c r="L14" s="44"/>
      <x:c r="M14" s="44" t="n">
        <x:v>4.5</x:v>
      </x:c>
      <x:c r="N14" s="44" t="n">
        <x:v>6</x:v>
      </x:c>
      <x:c r="O14" s="44" t="str">
        <x:v>DADA</x:v>
      </x:c>
      <x:c r="P14" s="44" t="str">
        <x:v>DADA</x:v>
      </x:c>
      <x:c r="Q14" s="44" t="str">
        <x:v>INCLUIR</x:v>
      </x:c>
    </x:row>
    <x:row r="15">
      <x:c r="A15" s="44" t="str">
        <x:v>AUTOSERVICIOS</x:v>
      </x:c>
      <x:c r="B15" s="44" t="str">
        <x:v>VDA</x:v>
      </x:c>
      <x:c r="C15" s="44" t="str">
        <x:v>DADA</x:v>
      </x:c>
      <x:c r="D15" s="50" t="n">
        <x:v>74395</x:v>
      </x:c>
      <x:c r="E15" s="51" t="str">
        <x:v>74395</x:v>
      </x:c>
      <x:c r="F15" s="44" t="str">
        <x:v>DADA FMORAS N°2 6X750</x:v>
      </x:c>
      <x:c r="G15" s="44" t="str">
        <x:v>Finca Las Moras</x:v>
      </x:c>
      <x:c r="H15" s="44" t="str">
        <x:v>Vigente</x:v>
      </x:c>
      <x:c r="I15" s="44" t="str">
        <x:v>Dada</x:v>
      </x:c>
      <x:c r="J15" s="44" t="str">
        <x:v>Vinos del año</x:v>
      </x:c>
      <x:c r="K15" s="44" t="str">
        <x:v>Alto</x:v>
      </x:c>
      <x:c r="L15" s="44"/>
      <x:c r="M15" s="44" t="n">
        <x:v>4.5</x:v>
      </x:c>
      <x:c r="N15" s="44" t="n">
        <x:v>6</x:v>
      </x:c>
      <x:c r="O15" s="44" t="str">
        <x:v>DADA</x:v>
      </x:c>
      <x:c r="P15" s="44" t="str">
        <x:v>DADA</x:v>
      </x:c>
      <x:c r="Q15" s="44" t="str">
        <x:v>INCLUIR</x:v>
      </x:c>
    </x:row>
    <x:row r="16">
      <x:c r="A16" s="44" t="str">
        <x:v>AUTOSERVICIOS</x:v>
      </x:c>
      <x:c r="B16" s="44" t="str">
        <x:v>VDA</x:v>
      </x:c>
      <x:c r="C16" s="44" t="str">
        <x:v>DADA</x:v>
      </x:c>
      <x:c r="D16" s="50" t="n">
        <x:v>74504</x:v>
      </x:c>
      <x:c r="E16" s="51" t="str">
        <x:v>74504</x:v>
      </x:c>
      <x:c r="F16" s="44" t="str">
        <x:v>DADA ART MALBEC 6X750</x:v>
      </x:c>
      <x:c r="G16" s="44" t="str">
        <x:v>Finca Las Moras</x:v>
      </x:c>
      <x:c r="H16" s="44" t="str">
        <x:v>Vigente</x:v>
      </x:c>
      <x:c r="I16" s="44" t="str">
        <x:v>Dada</x:v>
      </x:c>
      <x:c r="J16" s="44" t="str">
        <x:v>Vinos del año</x:v>
      </x:c>
      <x:c r="K16" s="44" t="str">
        <x:v>Alto</x:v>
      </x:c>
      <x:c r="L16" s="44"/>
      <x:c r="M16" s="44" t="n">
        <x:v>4.5</x:v>
      </x:c>
      <x:c r="N16" s="44" t="n">
        <x:v>6</x:v>
      </x:c>
      <x:c r="O16" s="44" t="str">
        <x:v>DADA</x:v>
      </x:c>
      <x:c r="P16" s="44" t="str">
        <x:v>DADA</x:v>
      </x:c>
      <x:c r="Q16" s="44" t="str">
        <x:v>INCLUIR</x:v>
      </x:c>
    </x:row>
    <x:row r="17">
      <x:c r="A17" s="44" t="str">
        <x:v>AUTOSERVICIOS</x:v>
      </x:c>
      <x:c r="B17" s="44" t="str">
        <x:v>VDA</x:v>
      </x:c>
      <x:c r="C17" s="44" t="str">
        <x:v>DADA</x:v>
      </x:c>
      <x:c r="D17" s="50" t="n">
        <x:v>74505</x:v>
      </x:c>
      <x:c r="E17" s="51" t="str">
        <x:v>74505</x:v>
      </x:c>
      <x:c r="F17" s="44" t="str">
        <x:v>DADA ART CABERNET 6X750</x:v>
      </x:c>
      <x:c r="G17" s="44" t="str">
        <x:v>Finca Las Moras</x:v>
      </x:c>
      <x:c r="H17" s="44" t="str">
        <x:v>Vigente</x:v>
      </x:c>
      <x:c r="I17" s="44" t="str">
        <x:v>Dada</x:v>
      </x:c>
      <x:c r="J17" s="44" t="str">
        <x:v>Vinos del año</x:v>
      </x:c>
      <x:c r="K17" s="44" t="str">
        <x:v>Alto</x:v>
      </x:c>
      <x:c r="L17" s="44"/>
      <x:c r="M17" s="44" t="n">
        <x:v>4.5</x:v>
      </x:c>
      <x:c r="N17" s="44" t="n">
        <x:v>6</x:v>
      </x:c>
      <x:c r="O17" s="44" t="str">
        <x:v>DADA</x:v>
      </x:c>
      <x:c r="P17" s="44" t="str">
        <x:v>DADA</x:v>
      </x:c>
      <x:c r="Q17" s="44" t="str">
        <x:v>INCLUIR</x:v>
      </x:c>
    </x:row>
    <x:row r="18">
      <x:c r="A18" s="44" t="str">
        <x:v>AUTOSERVICIOS</x:v>
      </x:c>
      <x:c r="B18" s="44" t="str">
        <x:v>VDA</x:v>
      </x:c>
      <x:c r="C18" s="44" t="str">
        <x:v>DADA</x:v>
      </x:c>
      <x:c r="D18" s="50" t="n">
        <x:v>74569</x:v>
      </x:c>
      <x:c r="E18" s="51" t="str">
        <x:v>74569</x:v>
      </x:c>
      <x:c r="F18" s="44" t="str">
        <x:v>DADA N° 8 Chocolate 6X750</x:v>
      </x:c>
      <x:c r="G18" s="44" t="str">
        <x:v>Finca Las Moras</x:v>
      </x:c>
      <x:c r="H18" s="44" t="str">
        <x:v>Vigente</x:v>
      </x:c>
      <x:c r="I18" s="44" t="str">
        <x:v>Dada</x:v>
      </x:c>
      <x:c r="J18" s="44" t="str">
        <x:v>Vinos del año</x:v>
      </x:c>
      <x:c r="K18" s="44" t="str">
        <x:v>Alto</x:v>
      </x:c>
      <x:c r="L18" s="44"/>
      <x:c r="M18" s="44" t="n">
        <x:v>4.5</x:v>
      </x:c>
      <x:c r="N18" s="44" t="n">
        <x:v>6</x:v>
      </x:c>
      <x:c r="O18" s="44" t="str">
        <x:v>DADA</x:v>
      </x:c>
      <x:c r="P18" s="44" t="str">
        <x:v>DADA</x:v>
      </x:c>
      <x:c r="Q18" s="44" t="str">
        <x:v>INCLUIR</x:v>
      </x:c>
    </x:row>
    <x:row r="19">
      <x:c r="A19" s="44" t="str">
        <x:v>AUTOSERVICIOS</x:v>
      </x:c>
      <x:c r="B19" s="44" t="str">
        <x:v>VDA</x:v>
      </x:c>
      <x:c r="C19" s="44" t="str">
        <x:v>DADA</x:v>
      </x:c>
      <x:c r="D19" s="50" t="n">
        <x:v>74636</x:v>
      </x:c>
      <x:c r="E19" s="51" t="str">
        <x:v>74636</x:v>
      </x:c>
      <x:c r="F19" s="44" t="str">
        <x:v>DADA N° 6 Honey 6X750</x:v>
      </x:c>
      <x:c r="G19" s="44" t="str">
        <x:v>Finca Las Moras</x:v>
      </x:c>
      <x:c r="H19" s="44" t="str">
        <x:v>Vigente</x:v>
      </x:c>
      <x:c r="I19" s="44" t="str">
        <x:v>Dada</x:v>
      </x:c>
      <x:c r="J19" s="44" t="str">
        <x:v>Vinos del año</x:v>
      </x:c>
      <x:c r="K19" s="44" t="str">
        <x:v>Alto</x:v>
      </x:c>
      <x:c r="L19" s="44"/>
      <x:c r="M19" s="44" t="n">
        <x:v>4.5</x:v>
      </x:c>
      <x:c r="N19" s="44" t="n">
        <x:v>6</x:v>
      </x:c>
      <x:c r="O19" s="44" t="str">
        <x:v>DADA</x:v>
      </x:c>
      <x:c r="P19" s="44" t="str">
        <x:v>DADA</x:v>
      </x:c>
      <x:c r="Q19" s="44" t="str">
        <x:v>INCLUIR</x:v>
      </x:c>
    </x:row>
    <x:row r="20">
      <x:c r="A20" s="44" t="str">
        <x:v>AUTOSERVICIOS</x:v>
      </x:c>
      <x:c r="B20" s="44" t="str">
        <x:v>VDA</x:v>
      </x:c>
      <x:c r="C20" s="44" t="str">
        <x:v>DADA</x:v>
      </x:c>
      <x:c r="D20" s="50" t="n">
        <x:v>74714</x:v>
      </x:c>
      <x:c r="E20" s="51" t="str">
        <x:v>74714</x:v>
      </x:c>
      <x:c r="F20" s="44" t="str">
        <x:v>DADA WHITE MALBEC 6X750</x:v>
      </x:c>
      <x:c r="G20" s="44" t="str">
        <x:v>Finca Las Moras</x:v>
      </x:c>
      <x:c r="H20" s="44" t="str">
        <x:v>Vigente</x:v>
      </x:c>
      <x:c r="I20" s="44" t="str">
        <x:v>Dada</x:v>
      </x:c>
      <x:c r="J20" s="44" t="str">
        <x:v>Vinos del año</x:v>
      </x:c>
      <x:c r="K20" s="44" t="str">
        <x:v>Alto</x:v>
      </x:c>
      <x:c r="L20" s="44"/>
      <x:c r="M20" s="44" t="n">
        <x:v>4.5</x:v>
      </x:c>
      <x:c r="N20" s="44" t="n">
        <x:v>6</x:v>
      </x:c>
      <x:c r="O20" s="44" t="str">
        <x:v>DADA</x:v>
      </x:c>
      <x:c r="P20" s="44" t="str">
        <x:v>DADA</x:v>
      </x:c>
      <x:c r="Q20" s="44" t="str">
        <x:v>INCLUIR</x:v>
      </x:c>
    </x:row>
    <x:row r="21">
      <x:c r="A21" s="44" t="str">
        <x:v>AUTOSERVICIOS</x:v>
      </x:c>
      <x:c r="B21" s="44" t="str">
        <x:v>VDA</x:v>
      </x:c>
      <x:c r="C21" s="44" t="str">
        <x:v>DADA</x:v>
      </x:c>
      <x:c r="D21" s="50" t="n">
        <x:v>74748</x:v>
      </x:c>
      <x:c r="E21" s="51" t="str">
        <x:v>74748</x:v>
      </x:c>
      <x:c r="F21" s="44" t="str">
        <x:v>DADA N°9 CARAMEL 6X750</x:v>
      </x:c>
      <x:c r="G21" s="44" t="str">
        <x:v>Finca Las Moras</x:v>
      </x:c>
      <x:c r="H21" s="44" t="str">
        <x:v>Vigente</x:v>
      </x:c>
      <x:c r="I21" s="44" t="str">
        <x:v>Dada</x:v>
      </x:c>
      <x:c r="J21" s="44" t="str">
        <x:v>Vinos del año</x:v>
      </x:c>
      <x:c r="K21" s="44" t="str">
        <x:v>Alto</x:v>
      </x:c>
      <x:c r="L21" s="44"/>
      <x:c r="M21" s="44" t="n">
        <x:v>4.5</x:v>
      </x:c>
      <x:c r="N21" s="44" t="n">
        <x:v>6</x:v>
      </x:c>
      <x:c r="O21" s="44" t="str">
        <x:v>DADA</x:v>
      </x:c>
      <x:c r="P21" s="44" t="str">
        <x:v>DADA</x:v>
      </x:c>
      <x:c r="Q21" s="44" t="str">
        <x:v>INCLUIR</x:v>
      </x:c>
    </x:row>
    <x:row r="22">
      <x:c r="A22" s="44" t="str">
        <x:v>AUTOSERVICIOS</x:v>
      </x:c>
      <x:c r="B22" s="44" t="str">
        <x:v>VDA</x:v>
      </x:c>
      <x:c r="C22" s="44" t="str">
        <x:v>DADA</x:v>
      </x:c>
      <x:c r="D22" s="50" t="n">
        <x:v>74883</x:v>
      </x:c>
      <x:c r="E22" s="51" t="str">
        <x:v>74883</x:v>
      </x:c>
      <x:c r="F22" s="44" t="str">
        <x:v>DADA SWEET WHITE LOW DADA 6X750</x:v>
      </x:c>
      <x:c r="G22" s="44" t="str">
        <x:v>Finca Las Moras</x:v>
      </x:c>
      <x:c r="H22" s="44" t="str">
        <x:v>En proceso de alta</x:v>
      </x:c>
      <x:c r="I22" s="44" t="str">
        <x:v>Dada</x:v>
      </x:c>
      <x:c r="J22" s="44" t="str">
        <x:v>Vinos del año</x:v>
      </x:c>
      <x:c r="K22" s="44" t="str">
        <x:v>Alto</x:v>
      </x:c>
      <x:c r="L22" s="44"/>
      <x:c r="M22" s="44" t="n">
        <x:v>4.5</x:v>
      </x:c>
      <x:c r="N22" s="44" t="n">
        <x:v>6</x:v>
      </x:c>
      <x:c r="O22" s="44" t="str">
        <x:v>DADA</x:v>
      </x:c>
      <x:c r="P22" s="44" t="str">
        <x:v>DADA</x:v>
      </x:c>
      <x:c r="Q22" s="44" t="str">
        <x:v>INCLUIR_ALTA</x:v>
      </x:c>
    </x:row>
    <x:row r="23">
      <x:c r="A23" s="44" t="str">
        <x:v>AUTOSERVICIOS</x:v>
      </x:c>
      <x:c r="B23" s="44" t="str">
        <x:v>VDA</x:v>
      </x:c>
      <x:c r="C23" s="44" t="str">
        <x:v>DADA</x:v>
      </x:c>
      <x:c r="D23" s="50" t="n">
        <x:v>74886</x:v>
      </x:c>
      <x:c r="E23" s="51" t="str">
        <x:v>74886</x:v>
      </x:c>
      <x:c r="F23" s="44" t="str">
        <x:v>DADA SWEET RED LOW DADA 6X750</x:v>
      </x:c>
      <x:c r="G23" s="44" t="str">
        <x:v>Finca Las Moras</x:v>
      </x:c>
      <x:c r="H23" s="44" t="str">
        <x:v>SIN_ESTADO_ORIGEN</x:v>
      </x:c>
      <x:c r="I23" s="44" t="str">
        <x:v>Dada</x:v>
      </x:c>
      <x:c r="J23" s="44" t="str">
        <x:v>Vinos del año</x:v>
      </x:c>
      <x:c r="K23" s="44" t="str">
        <x:v>Alto</x:v>
      </x:c>
      <x:c r="L23" s="44"/>
      <x:c r="M23" s="44" t="n">
        <x:v>4.5</x:v>
      </x:c>
      <x:c r="N23" s="44" t="n">
        <x:v>6</x:v>
      </x:c>
      <x:c r="O23" s="44" t="str">
        <x:v>DADA</x:v>
      </x:c>
      <x:c r="P23" s="44" t="str">
        <x:v>DADA</x:v>
      </x:c>
      <x:c r="Q23" s="44" t="str">
        <x:v>REVISAR_ESTADO</x:v>
      </x:c>
    </x:row>
    <x:row r="24">
      <x:c r="A24" s="44" t="str">
        <x:v>AUTOSERVICIOS</x:v>
      </x:c>
      <x:c r="B24" s="44" t="str">
        <x:v>VDA</x:v>
      </x:c>
      <x:c r="C24" s="44" t="str">
        <x:v>LOS ARBOLES</x:v>
      </x:c>
      <x:c r="D24" s="50" t="n">
        <x:v>74881</x:v>
      </x:c>
      <x:c r="E24" s="51" t="str">
        <x:v>74881</x:v>
      </x:c>
      <x:c r="F24" s="44" t="str">
        <x:v>LOS ARBOLES ROSADO 6X750</x:v>
      </x:c>
      <x:c r="G24" s="44" t="str">
        <x:v>Navarro Correas</x:v>
      </x:c>
      <x:c r="H24" s="44" t="str">
        <x:v>SIN_ESTADO_ORIGEN</x:v>
      </x:c>
      <x:c r="I24" s="44" t="str">
        <x:v>Los Arboles</x:v>
      </x:c>
      <x:c r="J24" s="44" t="str">
        <x:v>Vinos del año</x:v>
      </x:c>
      <x:c r="K24" s="44" t="str">
        <x:v>Medio Alto</x:v>
      </x:c>
      <x:c r="L24" s="44"/>
      <x:c r="M24" s="44" t="n">
        <x:v>4.5</x:v>
      </x:c>
      <x:c r="N24" s="44" t="n">
        <x:v>6</x:v>
      </x:c>
      <x:c r="O24" s="44" t="str">
        <x:v>LOS ARBOLES</x:v>
      </x:c>
      <x:c r="P24" s="44" t="str">
        <x:v>LOS ARBOLES</x:v>
      </x:c>
      <x:c r="Q24" s="44" t="str">
        <x:v>REVISAR_ESTADO</x:v>
      </x:c>
    </x:row>
    <x:row r="25">
      <x:c r="A25" s="44" t="str">
        <x:v>AUTOSERVICIOS</x:v>
      </x:c>
      <x:c r="B25" s="44" t="str">
        <x:v>VDA</x:v>
      </x:c>
      <x:c r="C25" s="44" t="str">
        <x:v>LOS ARBOLES</x:v>
      </x:c>
      <x:c r="D25" s="50" t="n">
        <x:v>74882</x:v>
      </x:c>
      <x:c r="E25" s="51" t="str">
        <x:v>74882</x:v>
      </x:c>
      <x:c r="F25" s="44" t="str">
        <x:v>LOS ARBOLES BCO DULCE 6X750</x:v>
      </x:c>
      <x:c r="G25" s="44" t="str">
        <x:v>Navarro Correas</x:v>
      </x:c>
      <x:c r="H25" s="44" t="str">
        <x:v>SIN_ESTADO_ORIGEN</x:v>
      </x:c>
      <x:c r="I25" s="44" t="str">
        <x:v>Los Arboles</x:v>
      </x:c>
      <x:c r="J25" s="44" t="str">
        <x:v>Vinos del año</x:v>
      </x:c>
      <x:c r="K25" s="44" t="str">
        <x:v>Medio Alto</x:v>
      </x:c>
      <x:c r="L25" s="44"/>
      <x:c r="M25" s="44" t="n">
        <x:v>4.5</x:v>
      </x:c>
      <x:c r="N25" s="44" t="n">
        <x:v>6</x:v>
      </x:c>
      <x:c r="O25" s="44" t="str">
        <x:v>LOS ARBOLES</x:v>
      </x:c>
      <x:c r="P25" s="44" t="str">
        <x:v>LOS ARBOLES</x:v>
      </x:c>
      <x:c r="Q25" s="44" t="str">
        <x:v>REVISAR_ESTADO</x:v>
      </x:c>
    </x:row>
    <x:row r="26">
      <x:c r="A26" s="44" t="str">
        <x:v>AUTOSERVICIOS</x:v>
      </x:c>
      <x:c r="B26" s="44" t="str">
        <x:v>VDA</x:v>
      </x:c>
      <x:c r="C26" s="44" t="str">
        <x:v>LOS ARBOLES</x:v>
      </x:c>
      <x:c r="D26" s="50" t="n">
        <x:v>80007</x:v>
      </x:c>
      <x:c r="E26" s="51" t="str">
        <x:v>80007</x:v>
      </x:c>
      <x:c r="F26" s="44" t="str">
        <x:v>LOS ARBOLES SEL CABERNET 6X750</x:v>
      </x:c>
      <x:c r="G26" s="44" t="str">
        <x:v>Navarro Correas</x:v>
      </x:c>
      <x:c r="H26" s="44" t="str">
        <x:v>Vigente</x:v>
      </x:c>
      <x:c r="I26" s="44" t="str">
        <x:v>Los Arboles</x:v>
      </x:c>
      <x:c r="J26" s="44" t="str">
        <x:v>Vinos del año</x:v>
      </x:c>
      <x:c r="K26" s="44" t="str">
        <x:v>Medio Alto</x:v>
      </x:c>
      <x:c r="L26" s="44"/>
      <x:c r="M26" s="44" t="n">
        <x:v>4.5</x:v>
      </x:c>
      <x:c r="N26" s="44" t="n">
        <x:v>6</x:v>
      </x:c>
      <x:c r="O26" s="44" t="str">
        <x:v>LOS ARBOLES</x:v>
      </x:c>
      <x:c r="P26" s="44" t="str">
        <x:v>LOS ARBOLES</x:v>
      </x:c>
      <x:c r="Q26" s="44" t="str">
        <x:v>INCLUIR</x:v>
      </x:c>
    </x:row>
    <x:row r="27">
      <x:c r="A27" s="44" t="str">
        <x:v>AUTOSERVICIOS</x:v>
      </x:c>
      <x:c r="B27" s="44" t="str">
        <x:v>VDA</x:v>
      </x:c>
      <x:c r="C27" s="44" t="str">
        <x:v>LOS ARBOLES</x:v>
      </x:c>
      <x:c r="D27" s="50" t="n">
        <x:v>80008</x:v>
      </x:c>
      <x:c r="E27" s="51" t="str">
        <x:v>80008</x:v>
      </x:c>
      <x:c r="F27" s="44" t="str">
        <x:v>LOS ARBOLES SEL CHARD 6X750</x:v>
      </x:c>
      <x:c r="G27" s="44" t="str">
        <x:v>Navarro Correas</x:v>
      </x:c>
      <x:c r="H27" s="44" t="str">
        <x:v>Vigente</x:v>
      </x:c>
      <x:c r="I27" s="44" t="str">
        <x:v>Los Arboles</x:v>
      </x:c>
      <x:c r="J27" s="44" t="str">
        <x:v>Vinos del año</x:v>
      </x:c>
      <x:c r="K27" s="44" t="str">
        <x:v>Medio Alto</x:v>
      </x:c>
      <x:c r="L27" s="44"/>
      <x:c r="M27" s="44" t="n">
        <x:v>4.5</x:v>
      </x:c>
      <x:c r="N27" s="44" t="n">
        <x:v>6</x:v>
      </x:c>
      <x:c r="O27" s="44" t="str">
        <x:v>LOS ARBOLES</x:v>
      </x:c>
      <x:c r="P27" s="44" t="str">
        <x:v>LOS ARBOLES</x:v>
      </x:c>
      <x:c r="Q27" s="44" t="str">
        <x:v>INCLUIR</x:v>
      </x:c>
    </x:row>
    <x:row r="28">
      <x:c r="A28" s="44" t="str">
        <x:v>AUTOSERVICIOS</x:v>
      </x:c>
      <x:c r="B28" s="44" t="str">
        <x:v>VDA</x:v>
      </x:c>
      <x:c r="C28" s="44" t="str">
        <x:v>LOS ARBOLES</x:v>
      </x:c>
      <x:c r="D28" s="50" t="n">
        <x:v>80010</x:v>
      </x:c>
      <x:c r="E28" s="51" t="str">
        <x:v>80010</x:v>
      </x:c>
      <x:c r="F28" s="44" t="str">
        <x:v>LOS ARBOLES SEL MALBEC 6X750</x:v>
      </x:c>
      <x:c r="G28" s="44" t="str">
        <x:v>Navarro Correas</x:v>
      </x:c>
      <x:c r="H28" s="44" t="str">
        <x:v>Vigente</x:v>
      </x:c>
      <x:c r="I28" s="44" t="str">
        <x:v>Los Arboles</x:v>
      </x:c>
      <x:c r="J28" s="44" t="str">
        <x:v>Vinos del año</x:v>
      </x:c>
      <x:c r="K28" s="44" t="str">
        <x:v>Medio Alto</x:v>
      </x:c>
      <x:c r="L28" s="44"/>
      <x:c r="M28" s="44" t="n">
        <x:v>4.5</x:v>
      </x:c>
      <x:c r="N28" s="44" t="n">
        <x:v>6</x:v>
      </x:c>
      <x:c r="O28" s="44" t="str">
        <x:v>LOS ARBOLES</x:v>
      </x:c>
      <x:c r="P28" s="44" t="str">
        <x:v>LOS ARBOLES</x:v>
      </x:c>
      <x:c r="Q28" s="44" t="str">
        <x:v>INCLUIR</x:v>
      </x:c>
    </x:row>
    <x:row r="29">
      <x:c r="A29" s="44" t="str">
        <x:v>AUTOSERVICIOS</x:v>
      </x:c>
      <x:c r="B29" s="44" t="str">
        <x:v>VDA</x:v>
      </x:c>
      <x:c r="C29" s="44" t="str">
        <x:v>LOS ARBOLES</x:v>
      </x:c>
      <x:c r="D29" s="50" t="n">
        <x:v>80089</x:v>
      </x:c>
      <x:c r="E29" s="51" t="str">
        <x:v>80089</x:v>
      </x:c>
      <x:c r="F29" s="44" t="str">
        <x:v>LOS ARBOLES SEL RED BLEND 6X750</x:v>
      </x:c>
      <x:c r="G29" s="44" t="str">
        <x:v>Navarro Correas</x:v>
      </x:c>
      <x:c r="H29" s="44" t="str">
        <x:v>Vigente</x:v>
      </x:c>
      <x:c r="I29" s="44" t="str">
        <x:v>Los Arboles</x:v>
      </x:c>
      <x:c r="J29" s="44" t="str">
        <x:v>Vinos del año</x:v>
      </x:c>
      <x:c r="K29" s="44" t="str">
        <x:v>Medio Alto</x:v>
      </x:c>
      <x:c r="L29" s="44"/>
      <x:c r="M29" s="44" t="n">
        <x:v>4.5</x:v>
      </x:c>
      <x:c r="N29" s="44" t="n">
        <x:v>6</x:v>
      </x:c>
      <x:c r="O29" s="44" t="str">
        <x:v>LOS ARBOLES</x:v>
      </x:c>
      <x:c r="P29" s="44" t="str">
        <x:v>LOS ARBOLES</x:v>
      </x:c>
      <x:c r="Q29" s="44" t="str">
        <x:v>INCLUIR</x:v>
      </x:c>
    </x:row>
    <x:row r="30">
      <x:c r="A30" s="44" t="str">
        <x:v>AUTOSERVICIOS</x:v>
      </x:c>
      <x:c r="B30" s="44" t="str">
        <x:v>VDA</x:v>
      </x:c>
      <x:c r="C30" s="44" t="str">
        <x:v>TRAPICHE RESERVA</x:v>
      </x:c>
      <x:c r="D30" s="50" t="n">
        <x:v>74415</x:v>
      </x:c>
      <x:c r="E30" s="51" t="str">
        <x:v>74415</x:v>
      </x:c>
      <x:c r="F30" s="44" t="str">
        <x:v>TRAPICHE RESERVA CABSAU 6X750</x:v>
      </x:c>
      <x:c r="G30" s="44" t="str">
        <x:v>Trapiche</x:v>
      </x:c>
      <x:c r="H30" s="44" t="str">
        <x:v>Vigente</x:v>
      </x:c>
      <x:c r="I30" s="44" t="str">
        <x:v>Trapiche Reserva</x:v>
      </x:c>
      <x:c r="J30" s="44" t="str">
        <x:v>Vinos del año</x:v>
      </x:c>
      <x:c r="K30" s="44" t="str">
        <x:v>Superior</x:v>
      </x:c>
      <x:c r="L30" s="44"/>
      <x:c r="M30" s="44" t="n">
        <x:v>4.5</x:v>
      </x:c>
      <x:c r="N30" s="44" t="n">
        <x:v>6</x:v>
      </x:c>
      <x:c r="O30" s="44" t="str">
        <x:v>TRAPICHE RESERVA</x:v>
      </x:c>
      <x:c r="P30" s="44" t="str">
        <x:v>TRAPICHE RESERVA</x:v>
      </x:c>
      <x:c r="Q30" s="44" t="str">
        <x:v>INCLUIR</x:v>
      </x:c>
    </x:row>
    <x:row r="31">
      <x:c r="A31" s="44" t="str">
        <x:v>AUTOSERVICIOS</x:v>
      </x:c>
      <x:c r="B31" s="44" t="str">
        <x:v>VDA</x:v>
      </x:c>
      <x:c r="C31" s="44" t="str">
        <x:v>TRAPICHE RESERVA</x:v>
      </x:c>
      <x:c r="D31" s="50" t="n">
        <x:v>74419</x:v>
      </x:c>
      <x:c r="E31" s="51" t="str">
        <x:v>74419</x:v>
      </x:c>
      <x:c r="F31" s="44" t="str">
        <x:v>TRAPICHE RESERVA MALBEC 6X750</x:v>
      </x:c>
      <x:c r="G31" s="44" t="str">
        <x:v>Trapiche</x:v>
      </x:c>
      <x:c r="H31" s="44" t="str">
        <x:v>Vigente</x:v>
      </x:c>
      <x:c r="I31" s="44" t="str">
        <x:v>Trapiche Reserva</x:v>
      </x:c>
      <x:c r="J31" s="44" t="str">
        <x:v>Vinos del año</x:v>
      </x:c>
      <x:c r="K31" s="44" t="str">
        <x:v>Superior</x:v>
      </x:c>
      <x:c r="L31" s="44"/>
      <x:c r="M31" s="44" t="n">
        <x:v>4.5</x:v>
      </x:c>
      <x:c r="N31" s="44" t="n">
        <x:v>6</x:v>
      </x:c>
      <x:c r="O31" s="44" t="str">
        <x:v>TRAPICHE RESERVA</x:v>
      </x:c>
      <x:c r="P31" s="44" t="str">
        <x:v>TRAPICHE RESERVA</x:v>
      </x:c>
      <x:c r="Q31" s="44" t="str">
        <x:v>INCLUIR</x:v>
      </x:c>
    </x:row>
    <x:row r="32">
      <x:c r="A32" s="44" t="str">
        <x:v>AUTOSERVICIOS</x:v>
      </x:c>
      <x:c r="B32" s="44" t="str">
        <x:v>VDA</x:v>
      </x:c>
      <x:c r="C32" s="44" t="str">
        <x:v>TRAPICHE RESERVA</x:v>
      </x:c>
      <x:c r="D32" s="50" t="n">
        <x:v>74420</x:v>
      </x:c>
      <x:c r="E32" s="51" t="str">
        <x:v>74420</x:v>
      </x:c>
      <x:c r="F32" s="44" t="str">
        <x:v>TRAPICHE RESERVA SYRAH 6X750</x:v>
      </x:c>
      <x:c r="G32" s="44" t="str">
        <x:v>Trapiche</x:v>
      </x:c>
      <x:c r="H32" s="44" t="str">
        <x:v>Vigente</x:v>
      </x:c>
      <x:c r="I32" s="44" t="str">
        <x:v>Trapiche Reserva</x:v>
      </x:c>
      <x:c r="J32" s="44" t="str">
        <x:v>Vinos del año</x:v>
      </x:c>
      <x:c r="K32" s="44" t="str">
        <x:v>Superior</x:v>
      </x:c>
      <x:c r="L32" s="44"/>
      <x:c r="M32" s="44" t="n">
        <x:v>4.5</x:v>
      </x:c>
      <x:c r="N32" s="44" t="n">
        <x:v>6</x:v>
      </x:c>
      <x:c r="O32" s="44" t="str">
        <x:v>TRAPICHE RESERVA</x:v>
      </x:c>
      <x:c r="P32" s="44" t="str">
        <x:v>TRAPICHE RESERVA</x:v>
      </x:c>
      <x:c r="Q32" s="44" t="str">
        <x:v>INCLUIR</x:v>
      </x:c>
    </x:row>
    <x:row r="33">
      <x:c r="A33" s="44" t="str">
        <x:v>AUTOSERVICIOS</x:v>
      </x:c>
      <x:c r="B33" s="44" t="str">
        <x:v>VDA</x:v>
      </x:c>
      <x:c r="C33" s="44" t="str">
        <x:v>TRAPICHE RESERVA</x:v>
      </x:c>
      <x:c r="D33" s="50" t="n">
        <x:v>74421</x:v>
      </x:c>
      <x:c r="E33" s="51" t="str">
        <x:v>74421</x:v>
      </x:c>
      <x:c r="F33" s="44" t="str">
        <x:v>TRAPICHE RESERVA CHARD 6X750</x:v>
      </x:c>
      <x:c r="G33" s="44" t="str">
        <x:v>Trapiche</x:v>
      </x:c>
      <x:c r="H33" s="44" t="str">
        <x:v>Vigente</x:v>
      </x:c>
      <x:c r="I33" s="44" t="str">
        <x:v>Trapiche Reserva</x:v>
      </x:c>
      <x:c r="J33" s="44" t="str">
        <x:v>Vinos del año</x:v>
      </x:c>
      <x:c r="K33" s="44" t="str">
        <x:v>Superior</x:v>
      </x:c>
      <x:c r="L33" s="44"/>
      <x:c r="M33" s="44" t="n">
        <x:v>4.5</x:v>
      </x:c>
      <x:c r="N33" s="44" t="n">
        <x:v>6</x:v>
      </x:c>
      <x:c r="O33" s="44" t="str">
        <x:v>TRAPICHE RESERVA</x:v>
      </x:c>
      <x:c r="P33" s="44" t="str">
        <x:v>TRAPICHE RESERVA</x:v>
      </x:c>
      <x:c r="Q33" s="44" t="str">
        <x:v>INCLUIR</x:v>
      </x:c>
    </x:row>
    <x:row r="34">
      <x:c r="A34" s="44" t="str">
        <x:v>AUTOSERVICIOS</x:v>
      </x:c>
      <x:c r="B34" s="44" t="str">
        <x:v>VDA</x:v>
      </x:c>
      <x:c r="C34" s="44" t="str">
        <x:v>TRAPICHE RESERVA</x:v>
      </x:c>
      <x:c r="D34" s="50" t="n">
        <x:v>74422</x:v>
      </x:c>
      <x:c r="E34" s="51" t="str">
        <x:v>74422</x:v>
      </x:c>
      <x:c r="F34" s="44" t="str">
        <x:v>TRAPICHE RESERVA MERLOT 6X750</x:v>
      </x:c>
      <x:c r="G34" s="44" t="str">
        <x:v>Trapiche</x:v>
      </x:c>
      <x:c r="H34" s="44" t="str">
        <x:v>Vigente</x:v>
      </x:c>
      <x:c r="I34" s="44" t="str">
        <x:v>Trapiche Reserva</x:v>
      </x:c>
      <x:c r="J34" s="44" t="str">
        <x:v>Vinos del año</x:v>
      </x:c>
      <x:c r="K34" s="44" t="str">
        <x:v>Superior</x:v>
      </x:c>
      <x:c r="L34" s="44"/>
      <x:c r="M34" s="44" t="n">
        <x:v>4.5</x:v>
      </x:c>
      <x:c r="N34" s="44" t="n">
        <x:v>6</x:v>
      </x:c>
      <x:c r="O34" s="44" t="str">
        <x:v>TRAPICHE RESERVA</x:v>
      </x:c>
      <x:c r="P34" s="44" t="str">
        <x:v>TRAPICHE RESERVA</x:v>
      </x:c>
      <x:c r="Q34" s="44" t="str">
        <x:v>INCLUIR</x:v>
      </x:c>
    </x:row>
    <x:row r="35">
      <x:c r="A35" s="44" t="str">
        <x:v>AUTOSERVICIOS</x:v>
      </x:c>
      <x:c r="B35" s="44" t="str">
        <x:v>VDA</x:v>
      </x:c>
      <x:c r="C35" s="44" t="str">
        <x:v>TRAPICHE RESERVA</x:v>
      </x:c>
      <x:c r="D35" s="50" t="n">
        <x:v>74737</x:v>
      </x:c>
      <x:c r="E35" s="51" t="str">
        <x:v>74737</x:v>
      </x:c>
      <x:c r="F35" s="44" t="str">
        <x:v>TRAPICHE RESERVA REDBLEND 6X750</x:v>
      </x:c>
      <x:c r="G35" s="44" t="str">
        <x:v>Trapiche</x:v>
      </x:c>
      <x:c r="H35" s="44" t="str">
        <x:v>Vigente</x:v>
      </x:c>
      <x:c r="I35" s="44" t="str">
        <x:v>Trapiche Reserva</x:v>
      </x:c>
      <x:c r="J35" s="44" t="str">
        <x:v>Vinos del año</x:v>
      </x:c>
      <x:c r="K35" s="44" t="str">
        <x:v>Superior</x:v>
      </x:c>
      <x:c r="L35" s="44"/>
      <x:c r="M35" s="44" t="n">
        <x:v>4.5</x:v>
      </x:c>
      <x:c r="N35" s="44" t="n">
        <x:v>6</x:v>
      </x:c>
      <x:c r="O35" s="44" t="str">
        <x:v>TRAPICHE RESERVA</x:v>
      </x:c>
      <x:c r="P35" s="44" t="str">
        <x:v>TRAPICHE RESERVA</x:v>
      </x:c>
      <x:c r="Q35" s="44" t="str">
        <x:v>INCLUIR</x:v>
      </x:c>
    </x:row>
    <x:row r="36">
      <x:c r="A36" s="44" t="str">
        <x:v>AUTOSERVICIOS</x:v>
      </x:c>
      <x:c r="B36" s="44" t="str">
        <x:v>VDA</x:v>
      </x:c>
      <x:c r="C36" s="44" t="str">
        <x:v>ALARIS</x:v>
      </x:c>
      <x:c r="D36" s="50" t="n">
        <x:v>70750</x:v>
      </x:c>
      <x:c r="E36" s="51" t="str">
        <x:v>70750</x:v>
      </x:c>
      <x:c r="F36" s="44" t="str">
        <x:v>TRAPICHE ALARIS CABSAUV 6X750</x:v>
      </x:c>
      <x:c r="G36" s="44" t="str">
        <x:v>Trapiche</x:v>
      </x:c>
      <x:c r="H36" s="44" t="str">
        <x:v>Vigente</x:v>
      </x:c>
      <x:c r="I36" s="44" t="str">
        <x:v>Alaris</x:v>
      </x:c>
      <x:c r="J36" s="44" t="str">
        <x:v>Vinos del año</x:v>
      </x:c>
      <x:c r="K36" s="44" t="str">
        <x:v>Medio Alto</x:v>
      </x:c>
      <x:c r="L36" s="44"/>
      <x:c r="M36" s="44" t="n">
        <x:v>4.5</x:v>
      </x:c>
      <x:c r="N36" s="44" t="n">
        <x:v>6</x:v>
      </x:c>
      <x:c r="O36" s="44" t="str">
        <x:v>ALARIS</x:v>
      </x:c>
      <x:c r="P36" s="44" t="str">
        <x:v>ALARIS</x:v>
      </x:c>
      <x:c r="Q36" s="44" t="str">
        <x:v>INCLUIR</x:v>
      </x:c>
    </x:row>
    <x:row r="37">
      <x:c r="A37" s="44" t="str">
        <x:v>AUTOSERVICIOS</x:v>
      </x:c>
      <x:c r="B37" s="44" t="str">
        <x:v>VDA</x:v>
      </x:c>
      <x:c r="C37" s="44" t="str">
        <x:v>ALARIS</x:v>
      </x:c>
      <x:c r="D37" s="50" t="n">
        <x:v>70751</x:v>
      </x:c>
      <x:c r="E37" s="51" t="str">
        <x:v>70751</x:v>
      </x:c>
      <x:c r="F37" s="44" t="str">
        <x:v>TRAPICHE ALARIS CHARD 6X750</x:v>
      </x:c>
      <x:c r="G37" s="44" t="str">
        <x:v>Trapiche</x:v>
      </x:c>
      <x:c r="H37" s="44" t="str">
        <x:v>Vigente</x:v>
      </x:c>
      <x:c r="I37" s="44" t="str">
        <x:v>Alaris</x:v>
      </x:c>
      <x:c r="J37" s="44" t="str">
        <x:v>Vinos del año</x:v>
      </x:c>
      <x:c r="K37" s="44" t="str">
        <x:v>Medio Alto</x:v>
      </x:c>
      <x:c r="L37" s="44"/>
      <x:c r="M37" s="44" t="n">
        <x:v>4.5</x:v>
      </x:c>
      <x:c r="N37" s="44" t="n">
        <x:v>6</x:v>
      </x:c>
      <x:c r="O37" s="44" t="str">
        <x:v>ALARIS</x:v>
      </x:c>
      <x:c r="P37" s="44" t="str">
        <x:v>ALARIS</x:v>
      </x:c>
      <x:c r="Q37" s="44" t="str">
        <x:v>INCLUIR</x:v>
      </x:c>
    </x:row>
    <x:row r="38">
      <x:c r="A38" s="44" t="str">
        <x:v>AUTOSERVICIOS</x:v>
      </x:c>
      <x:c r="B38" s="44" t="str">
        <x:v>VDA</x:v>
      </x:c>
      <x:c r="C38" s="44" t="str">
        <x:v>ALARIS</x:v>
      </x:c>
      <x:c r="D38" s="50" t="n">
        <x:v>71704</x:v>
      </x:c>
      <x:c r="E38" s="51" t="str">
        <x:v>71704</x:v>
      </x:c>
      <x:c r="F38" s="44" t="str">
        <x:v>TRAPICHE ALARIS MALBEC 6X750</x:v>
      </x:c>
      <x:c r="G38" s="44" t="str">
        <x:v>Trapiche</x:v>
      </x:c>
      <x:c r="H38" s="44" t="str">
        <x:v>Vigente</x:v>
      </x:c>
      <x:c r="I38" s="44" t="str">
        <x:v>Alaris</x:v>
      </x:c>
      <x:c r="J38" s="44" t="str">
        <x:v>Vinos del año</x:v>
      </x:c>
      <x:c r="K38" s="44" t="str">
        <x:v>Medio Alto</x:v>
      </x:c>
      <x:c r="L38" s="44"/>
      <x:c r="M38" s="44" t="n">
        <x:v>4.5</x:v>
      </x:c>
      <x:c r="N38" s="44" t="n">
        <x:v>6</x:v>
      </x:c>
      <x:c r="O38" s="44" t="str">
        <x:v>ALARIS</x:v>
      </x:c>
      <x:c r="P38" s="44" t="str">
        <x:v>ALARIS</x:v>
      </x:c>
      <x:c r="Q38" s="44" t="str">
        <x:v>INCLUIR</x:v>
      </x:c>
    </x:row>
    <x:row r="39">
      <x:c r="A39" s="44" t="str">
        <x:v>AUTOSERVICIOS</x:v>
      </x:c>
      <x:c r="B39" s="44" t="str">
        <x:v>VDA</x:v>
      </x:c>
      <x:c r="C39" s="44" t="str">
        <x:v>ALARIS</x:v>
      </x:c>
      <x:c r="D39" s="50" t="n">
        <x:v>71706</x:v>
      </x:c>
      <x:c r="E39" s="51" t="str">
        <x:v>71706</x:v>
      </x:c>
      <x:c r="F39" s="44" t="str">
        <x:v>TRAPICHE ALARIS SBLANC 6X750</x:v>
      </x:c>
      <x:c r="G39" s="44" t="str">
        <x:v>Trapiche</x:v>
      </x:c>
      <x:c r="H39" s="44" t="str">
        <x:v>Vigente</x:v>
      </x:c>
      <x:c r="I39" s="44" t="str">
        <x:v>Alaris</x:v>
      </x:c>
      <x:c r="J39" s="44" t="str">
        <x:v>Vinos del año</x:v>
      </x:c>
      <x:c r="K39" s="44" t="str">
        <x:v>Medio Alto</x:v>
      </x:c>
      <x:c r="L39" s="44"/>
      <x:c r="M39" s="44" t="n">
        <x:v>4.5</x:v>
      </x:c>
      <x:c r="N39" s="44" t="n">
        <x:v>6</x:v>
      </x:c>
      <x:c r="O39" s="44" t="str">
        <x:v>ALARIS</x:v>
      </x:c>
      <x:c r="P39" s="44" t="str">
        <x:v>ALARIS</x:v>
      </x:c>
      <x:c r="Q39" s="44" t="str">
        <x:v>INCLUIR</x:v>
      </x:c>
    </x:row>
    <x:row r="40">
      <x:c r="A40" s="44" t="str">
        <x:v>AUTOSERVICIOS</x:v>
      </x:c>
      <x:c r="B40" s="44" t="str">
        <x:v>VDA</x:v>
      </x:c>
      <x:c r="C40" s="44" t="str">
        <x:v>ALARIS</x:v>
      </x:c>
      <x:c r="D40" s="50" t="n">
        <x:v>71716</x:v>
      </x:c>
      <x:c r="E40" s="51" t="str">
        <x:v>71716</x:v>
      </x:c>
      <x:c r="F40" s="44" t="str">
        <x:v>ALARIS RED BLEND 6X750</x:v>
      </x:c>
      <x:c r="G40" s="44" t="str">
        <x:v>Trapiche</x:v>
      </x:c>
      <x:c r="H40" s="44" t="str">
        <x:v>Vigente</x:v>
      </x:c>
      <x:c r="I40" s="44" t="str">
        <x:v>Alaris</x:v>
      </x:c>
      <x:c r="J40" s="44" t="str">
        <x:v>Vinos del año</x:v>
      </x:c>
      <x:c r="K40" s="44" t="str">
        <x:v>Medio Alto</x:v>
      </x:c>
      <x:c r="L40" s="44"/>
      <x:c r="M40" s="44" t="n">
        <x:v>4.5</x:v>
      </x:c>
      <x:c r="N40" s="44" t="n">
        <x:v>6</x:v>
      </x:c>
      <x:c r="O40" s="44" t="str">
        <x:v>ALARIS</x:v>
      </x:c>
      <x:c r="P40" s="44" t="str">
        <x:v>ALARIS</x:v>
      </x:c>
      <x:c r="Q40" s="44" t="str">
        <x:v>INCLUIR</x:v>
      </x:c>
    </x:row>
    <x:row r="41">
      <x:c r="A41" s="44" t="str">
        <x:v>AUTOSERVICIOS</x:v>
      </x:c>
      <x:c r="B41" s="44" t="str">
        <x:v>VDA</x:v>
      </x:c>
      <x:c r="C41" s="44" t="str">
        <x:v>ALARIS</x:v>
      </x:c>
      <x:c r="D41" s="50" t="n">
        <x:v>72541</x:v>
      </x:c>
      <x:c r="E41" s="51" t="str">
        <x:v>72541</x:v>
      </x:c>
      <x:c r="F41" s="44" t="str">
        <x:v>TRAPICHE ALARIS MERLOT 6X750</x:v>
      </x:c>
      <x:c r="G41" s="44" t="str">
        <x:v>Trapiche</x:v>
      </x:c>
      <x:c r="H41" s="44" t="str">
        <x:v>Vigente</x:v>
      </x:c>
      <x:c r="I41" s="44" t="str">
        <x:v>Alaris</x:v>
      </x:c>
      <x:c r="J41" s="44" t="str">
        <x:v>Vinos del año</x:v>
      </x:c>
      <x:c r="K41" s="44" t="str">
        <x:v>Medio Alto</x:v>
      </x:c>
      <x:c r="L41" s="44"/>
      <x:c r="M41" s="44" t="n">
        <x:v>4.5</x:v>
      </x:c>
      <x:c r="N41" s="44" t="n">
        <x:v>6</x:v>
      </x:c>
      <x:c r="O41" s="44" t="str">
        <x:v>ALARIS</x:v>
      </x:c>
      <x:c r="P41" s="44" t="str">
        <x:v>ALARIS</x:v>
      </x:c>
      <x:c r="Q41" s="44" t="str">
        <x:v>INCLUIR</x:v>
      </x:c>
    </x:row>
    <x:row r="42">
      <x:c r="A42" s="44" t="str">
        <x:v>AUTOSERVICIOS</x:v>
      </x:c>
      <x:c r="B42" s="44" t="str">
        <x:v>VDA</x:v>
      </x:c>
      <x:c r="C42" s="44" t="str">
        <x:v>ALARIS</x:v>
      </x:c>
      <x:c r="D42" s="50" t="n">
        <x:v>74058</x:v>
      </x:c>
      <x:c r="E42" s="51" t="str">
        <x:v>74058</x:v>
      </x:c>
      <x:c r="F42" s="44" t="str">
        <x:v>TRAPICHE ALARIS SYRAH 6X750</x:v>
      </x:c>
      <x:c r="G42" s="44" t="str">
        <x:v>Trapiche</x:v>
      </x:c>
      <x:c r="H42" s="44" t="str">
        <x:v>Vigente</x:v>
      </x:c>
      <x:c r="I42" s="44" t="str">
        <x:v>Alaris</x:v>
      </x:c>
      <x:c r="J42" s="44" t="str">
        <x:v>Vinos del año</x:v>
      </x:c>
      <x:c r="K42" s="44" t="str">
        <x:v>Medio Alto</x:v>
      </x:c>
      <x:c r="L42" s="44"/>
      <x:c r="M42" s="44" t="n">
        <x:v>4.5</x:v>
      </x:c>
      <x:c r="N42" s="44" t="n">
        <x:v>6</x:v>
      </x:c>
      <x:c r="O42" s="44" t="str">
        <x:v>ALARIS</x:v>
      </x:c>
      <x:c r="P42" s="44" t="str">
        <x:v>ALARIS</x:v>
      </x:c>
      <x:c r="Q42" s="44" t="str">
        <x:v>INCLUIR</x:v>
      </x:c>
    </x:row>
    <x:row r="43">
      <x:c r="A43" s="44" t="str">
        <x:v>AUTOSERVICIOS</x:v>
      </x:c>
      <x:c r="B43" s="44" t="str">
        <x:v>VDA</x:v>
      </x:c>
      <x:c r="C43" s="44" t="str">
        <x:v>ALARIS</x:v>
      </x:c>
      <x:c r="D43" s="50" t="n">
        <x:v>74188</x:v>
      </x:c>
      <x:c r="E43" s="51" t="str">
        <x:v>74188</x:v>
      </x:c>
      <x:c r="F43" s="44" t="str">
        <x:v>TRAPICHE DULCE COSECHA 6X750</x:v>
      </x:c>
      <x:c r="G43" s="44" t="str">
        <x:v>Trapiche</x:v>
      </x:c>
      <x:c r="H43" s="44" t="str">
        <x:v>Vigente</x:v>
      </x:c>
      <x:c r="I43" s="44" t="str">
        <x:v>Alaris</x:v>
      </x:c>
      <x:c r="J43" s="44" t="str">
        <x:v>Vinos del año</x:v>
      </x:c>
      <x:c r="K43" s="44" t="str">
        <x:v>Medio Alto</x:v>
      </x:c>
      <x:c r="L43" s="44"/>
      <x:c r="M43" s="44" t="n">
        <x:v>4.5</x:v>
      </x:c>
      <x:c r="N43" s="44" t="n">
        <x:v>6</x:v>
      </x:c>
      <x:c r="O43" s="44" t="str">
        <x:v>ALARIS</x:v>
      </x:c>
      <x:c r="P43" s="44" t="str">
        <x:v>ALARIS</x:v>
      </x:c>
      <x:c r="Q43" s="44" t="str">
        <x:v>INCLUIR</x:v>
      </x:c>
    </x:row>
    <x:row r="44">
      <x:c r="A44" s="44" t="str">
        <x:v>AUTOSERVICIOS</x:v>
      </x:c>
      <x:c r="B44" s="44" t="str">
        <x:v>VDA</x:v>
      </x:c>
      <x:c r="C44" s="44" t="str">
        <x:v>ALARIS</x:v>
      </x:c>
      <x:c r="D44" s="50" t="n">
        <x:v>74263</x:v>
      </x:c>
      <x:c r="E44" s="51" t="str">
        <x:v>74263</x:v>
      </x:c>
      <x:c r="F44" s="44" t="str">
        <x:v>TRAPICHE ALARIS TORRNTES 6X750</x:v>
      </x:c>
      <x:c r="G44" s="44" t="str">
        <x:v>Trapiche</x:v>
      </x:c>
      <x:c r="H44" s="44" t="str">
        <x:v>Vigente</x:v>
      </x:c>
      <x:c r="I44" s="44" t="str">
        <x:v>Alaris</x:v>
      </x:c>
      <x:c r="J44" s="44" t="str">
        <x:v>Vinos del año</x:v>
      </x:c>
      <x:c r="K44" s="44" t="str">
        <x:v>Medio Alto</x:v>
      </x:c>
      <x:c r="L44" s="44"/>
      <x:c r="M44" s="44" t="n">
        <x:v>4.5</x:v>
      </x:c>
      <x:c r="N44" s="44" t="n">
        <x:v>6</x:v>
      </x:c>
      <x:c r="O44" s="44" t="str">
        <x:v>ALARIS</x:v>
      </x:c>
      <x:c r="P44" s="44" t="str">
        <x:v>ALARIS</x:v>
      </x:c>
      <x:c r="Q44" s="44" t="str">
        <x:v>INCLUIR</x:v>
      </x:c>
    </x:row>
    <x:row r="45">
      <x:c r="A45" s="44" t="str">
        <x:v>AUTOSERVICIOS</x:v>
      </x:c>
      <x:c r="B45" s="44" t="str">
        <x:v>VDA</x:v>
      </x:c>
      <x:c r="C45" s="44" t="str">
        <x:v>ALARIS</x:v>
      </x:c>
      <x:c r="D45" s="50" t="n">
        <x:v>74478</x:v>
      </x:c>
      <x:c r="E45" s="51" t="str">
        <x:v>74478</x:v>
      </x:c>
      <x:c r="F45" s="44" t="str">
        <x:v>TRAPICHE DULCE COSECHA ROSÉ</x:v>
      </x:c>
      <x:c r="G45" s="44" t="str">
        <x:v>Trapiche</x:v>
      </x:c>
      <x:c r="H45" s="44" t="str">
        <x:v>Vigente</x:v>
      </x:c>
      <x:c r="I45" s="44" t="str">
        <x:v>Alaris</x:v>
      </x:c>
      <x:c r="J45" s="44" t="str">
        <x:v>Vinos del año</x:v>
      </x:c>
      <x:c r="K45" s="44" t="str">
        <x:v>Medio Alto</x:v>
      </x:c>
      <x:c r="L45" s="44"/>
      <x:c r="M45" s="44" t="n">
        <x:v>4.5</x:v>
      </x:c>
      <x:c r="N45" s="44" t="n">
        <x:v>6</x:v>
      </x:c>
      <x:c r="O45" s="44" t="str">
        <x:v>ALARIS</x:v>
      </x:c>
      <x:c r="P45" s="44" t="str">
        <x:v>ALARIS</x:v>
      </x:c>
      <x:c r="Q45" s="44" t="str">
        <x:v>INCLUIR</x:v>
      </x:c>
    </x:row>
    <x:row r="46">
      <x:c r="A46" s="44" t="str">
        <x:v>AUTOSERVICIOS</x:v>
      </x:c>
      <x:c r="B46" s="44" t="str">
        <x:v>VDA</x:v>
      </x:c>
      <x:c r="C46" s="44" t="str">
        <x:v>ALARIS</x:v>
      </x:c>
      <x:c r="D46" s="50" t="n">
        <x:v>74840</x:v>
      </x:c>
      <x:c r="E46" s="51" t="str">
        <x:v>74840</x:v>
      </x:c>
      <x:c r="F46" s="44" t="str">
        <x:v>TRAPICHE DULCE COSECHA TINTO 6X750</x:v>
      </x:c>
      <x:c r="G46" s="44" t="str">
        <x:v>Trapiche</x:v>
      </x:c>
      <x:c r="H46" s="44" t="str">
        <x:v>Vigente</x:v>
      </x:c>
      <x:c r="I46" s="44" t="str">
        <x:v>Alaris</x:v>
      </x:c>
      <x:c r="J46" s="44" t="str">
        <x:v>Vinos del año</x:v>
      </x:c>
      <x:c r="K46" s="44" t="str">
        <x:v>Medio Alto</x:v>
      </x:c>
      <x:c r="L46" s="44"/>
      <x:c r="M46" s="44" t="n">
        <x:v>4.5</x:v>
      </x:c>
      <x:c r="N46" s="44" t="n">
        <x:v>6</x:v>
      </x:c>
      <x:c r="O46" s="44" t="str">
        <x:v>ALARIS</x:v>
      </x:c>
      <x:c r="P46" s="44" t="str">
        <x:v>ALARIS</x:v>
      </x:c>
      <x:c r="Q46" s="44" t="str">
        <x:v>INCLUIR</x:v>
      </x:c>
    </x:row>
    <x:row r="47">
      <x:c r="A47" s="44" t="str">
        <x:v>AUTOSERVICIOS</x:v>
      </x:c>
      <x:c r="B47" s="44" t="str">
        <x:v>VDA</x:v>
      </x:c>
      <x:c r="C47" s="44" t="str">
        <x:v>FINCA LAS MORAS</x:v>
      </x:c>
      <x:c r="D47" s="50" t="n">
        <x:v>72857</x:v>
      </x:c>
      <x:c r="E47" s="51" t="str">
        <x:v>72857</x:v>
      </x:c>
      <x:c r="F47" s="44" t="str">
        <x:v>F.LAS MORAS CABSAU 6X750</x:v>
      </x:c>
      <x:c r="G47" s="44" t="str">
        <x:v>Finca Las Moras</x:v>
      </x:c>
      <x:c r="H47" s="44" t="str">
        <x:v>Vigente</x:v>
      </x:c>
      <x:c r="I47" s="44" t="str">
        <x:v>Finca Las Moras</x:v>
      </x:c>
      <x:c r="J47" s="44" t="str">
        <x:v>Vinos del año</x:v>
      </x:c>
      <x:c r="K47" s="44" t="str">
        <x:v>Medio Alto</x:v>
      </x:c>
      <x:c r="L47" s="44"/>
      <x:c r="M47" s="44" t="n">
        <x:v>4.5</x:v>
      </x:c>
      <x:c r="N47" s="44" t="n">
        <x:v>6</x:v>
      </x:c>
      <x:c r="O47" s="44" t="str">
        <x:v>FINCA LAS MORAS</x:v>
      </x:c>
      <x:c r="P47" s="44" t="str">
        <x:v>FINCA LAS MORAS</x:v>
      </x:c>
      <x:c r="Q47" s="44" t="str">
        <x:v>INCLUIR</x:v>
      </x:c>
    </x:row>
    <x:row r="48">
      <x:c r="A48" s="44" t="str">
        <x:v>AUTOSERVICIOS</x:v>
      </x:c>
      <x:c r="B48" s="44" t="str">
        <x:v>VDA</x:v>
      </x:c>
      <x:c r="C48" s="44" t="str">
        <x:v>FINCA LAS MORAS</x:v>
      </x:c>
      <x:c r="D48" s="50" t="n">
        <x:v>72858</x:v>
      </x:c>
      <x:c r="E48" s="51" t="str">
        <x:v>72858</x:v>
      </x:c>
      <x:c r="F48" s="44" t="str">
        <x:v>F.LAS MORAS SYRAH 6X750</x:v>
      </x:c>
      <x:c r="G48" s="44" t="str">
        <x:v>Finca Las Moras</x:v>
      </x:c>
      <x:c r="H48" s="44" t="str">
        <x:v>Vigente</x:v>
      </x:c>
      <x:c r="I48" s="44" t="str">
        <x:v>Finca Las Moras</x:v>
      </x:c>
      <x:c r="J48" s="44" t="str">
        <x:v>Vinos del año</x:v>
      </x:c>
      <x:c r="K48" s="44" t="str">
        <x:v>Medio Alto</x:v>
      </x:c>
      <x:c r="L48" s="44"/>
      <x:c r="M48" s="44" t="n">
        <x:v>4.5</x:v>
      </x:c>
      <x:c r="N48" s="44" t="n">
        <x:v>6</x:v>
      </x:c>
      <x:c r="O48" s="44" t="str">
        <x:v>FINCA LAS MORAS</x:v>
      </x:c>
      <x:c r="P48" s="44" t="str">
        <x:v>FINCA LAS MORAS</x:v>
      </x:c>
      <x:c r="Q48" s="44" t="str">
        <x:v>INCLUIR</x:v>
      </x:c>
    </x:row>
    <x:row r="49">
      <x:c r="A49" s="44" t="str">
        <x:v>AUTOSERVICIOS</x:v>
      </x:c>
      <x:c r="B49" s="44" t="str">
        <x:v>VDA</x:v>
      </x:c>
      <x:c r="C49" s="44" t="str">
        <x:v>FINCA LAS MORAS</x:v>
      </x:c>
      <x:c r="D49" s="50" t="n">
        <x:v>72859</x:v>
      </x:c>
      <x:c r="E49" s="51" t="str">
        <x:v>72859</x:v>
      </x:c>
      <x:c r="F49" s="44" t="str">
        <x:v>F.LAS MORAS MALBEC 6X750</x:v>
      </x:c>
      <x:c r="G49" s="44" t="str">
        <x:v>Finca Las Moras</x:v>
      </x:c>
      <x:c r="H49" s="44" t="str">
        <x:v>Vigente</x:v>
      </x:c>
      <x:c r="I49" s="44" t="str">
        <x:v>Finca Las Moras</x:v>
      </x:c>
      <x:c r="J49" s="44" t="str">
        <x:v>Vinos del año</x:v>
      </x:c>
      <x:c r="K49" s="44" t="str">
        <x:v>Medio Alto</x:v>
      </x:c>
      <x:c r="L49" s="44"/>
      <x:c r="M49" s="44" t="n">
        <x:v>4.5</x:v>
      </x:c>
      <x:c r="N49" s="44" t="n">
        <x:v>6</x:v>
      </x:c>
      <x:c r="O49" s="44" t="str">
        <x:v>FINCA LAS MORAS</x:v>
      </x:c>
      <x:c r="P49" s="44" t="str">
        <x:v>FINCA LAS MORAS</x:v>
      </x:c>
      <x:c r="Q49" s="44" t="str">
        <x:v>INCLUIR</x:v>
      </x:c>
    </x:row>
    <x:row r="50">
      <x:c r="A50" s="44" t="str">
        <x:v>AUTOSERVICIOS</x:v>
      </x:c>
      <x:c r="B50" s="44" t="str">
        <x:v>VDA</x:v>
      </x:c>
      <x:c r="C50" s="44" t="str">
        <x:v>FINCA LAS MORAS</x:v>
      </x:c>
      <x:c r="D50" s="50" t="n">
        <x:v>74167</x:v>
      </x:c>
      <x:c r="E50" s="51" t="str">
        <x:v>74167</x:v>
      </x:c>
      <x:c r="F50" s="44" t="str">
        <x:v>F.LAS MORAS SAUV.BLANC 6X750</x:v>
      </x:c>
      <x:c r="G50" s="44" t="str">
        <x:v>Finca Las Moras</x:v>
      </x:c>
      <x:c r="H50" s="44" t="str">
        <x:v>Vigente</x:v>
      </x:c>
      <x:c r="I50" s="44" t="str">
        <x:v>Finca Las Moras</x:v>
      </x:c>
      <x:c r="J50" s="44" t="str">
        <x:v>Vinos del año</x:v>
      </x:c>
      <x:c r="K50" s="44" t="str">
        <x:v>Medio Alto</x:v>
      </x:c>
      <x:c r="L50" s="44"/>
      <x:c r="M50" s="44" t="n">
        <x:v>4.5</x:v>
      </x:c>
      <x:c r="N50" s="44" t="n">
        <x:v>6</x:v>
      </x:c>
      <x:c r="O50" s="44" t="str">
        <x:v>FINCA LAS MORAS</x:v>
      </x:c>
      <x:c r="P50" s="44" t="str">
        <x:v>FINCA LAS MORAS</x:v>
      </x:c>
      <x:c r="Q50" s="44" t="str">
        <x:v>INCLUIR</x:v>
      </x:c>
    </x:row>
    <x:row r="51">
      <x:c r="A51" s="44" t="str">
        <x:v>AUTOSERVICIOS</x:v>
      </x:c>
      <x:c r="B51" s="44" t="str">
        <x:v>VDA</x:v>
      </x:c>
      <x:c r="C51" s="44" t="str">
        <x:v>FINCA LAS MORAS</x:v>
      </x:c>
      <x:c r="D51" s="50" t="n">
        <x:v>74509</x:v>
      </x:c>
      <x:c r="E51" s="51" t="str">
        <x:v>74509</x:v>
      </x:c>
      <x:c r="F51" s="44" t="str">
        <x:v>F.LAS MORAS BCO.DLCE 6X750</x:v>
      </x:c>
      <x:c r="G51" s="44" t="str">
        <x:v>Finca Las Moras</x:v>
      </x:c>
      <x:c r="H51" s="44" t="str">
        <x:v>Vigente</x:v>
      </x:c>
      <x:c r="I51" s="44" t="str">
        <x:v>Finca Las Moras</x:v>
      </x:c>
      <x:c r="J51" s="44" t="str">
        <x:v>Vinos del año</x:v>
      </x:c>
      <x:c r="K51" s="44" t="str">
        <x:v>Medio Alto</x:v>
      </x:c>
      <x:c r="L51" s="44"/>
      <x:c r="M51" s="44" t="n">
        <x:v>4.5</x:v>
      </x:c>
      <x:c r="N51" s="44" t="n">
        <x:v>6</x:v>
      </x:c>
      <x:c r="O51" s="44" t="str">
        <x:v>FINCA LAS MORAS</x:v>
      </x:c>
      <x:c r="P51" s="44" t="str">
        <x:v>FINCA LAS MORAS</x:v>
      </x:c>
      <x:c r="Q51" s="44" t="str">
        <x:v>INCLUIR</x:v>
      </x:c>
    </x:row>
    <x:row r="52">
      <x:c r="A52" s="44" t="str">
        <x:v>AUTOSERVICIOS</x:v>
      </x:c>
      <x:c r="B52" s="44" t="str">
        <x:v>VDA</x:v>
      </x:c>
      <x:c r="C52" s="44" t="str">
        <x:v>FINCA LAS MORAS</x:v>
      </x:c>
      <x:c r="D52" s="50" t="n">
        <x:v>74510</x:v>
      </x:c>
      <x:c r="E52" s="51" t="str">
        <x:v>74510</x:v>
      </x:c>
      <x:c r="F52" s="44" t="str">
        <x:v>F.LAS MORAS ROSADO 6X750</x:v>
      </x:c>
      <x:c r="G52" s="44" t="str">
        <x:v>Finca Las Moras</x:v>
      </x:c>
      <x:c r="H52" s="44" t="str">
        <x:v>Vigente</x:v>
      </x:c>
      <x:c r="I52" s="44" t="str">
        <x:v>Finca Las Moras</x:v>
      </x:c>
      <x:c r="J52" s="44" t="str">
        <x:v>Vinos del año</x:v>
      </x:c>
      <x:c r="K52" s="44" t="str">
        <x:v>Medio Alto</x:v>
      </x:c>
      <x:c r="L52" s="44"/>
      <x:c r="M52" s="44" t="n">
        <x:v>4.5</x:v>
      </x:c>
      <x:c r="N52" s="44" t="n">
        <x:v>6</x:v>
      </x:c>
      <x:c r="O52" s="44" t="str">
        <x:v>FINCA LAS MORAS</x:v>
      </x:c>
      <x:c r="P52" s="44" t="str">
        <x:v>FINCA LAS MORAS</x:v>
      </x:c>
      <x:c r="Q52" s="44" t="str">
        <x:v>INCLUIR</x:v>
      </x:c>
    </x:row>
    <x:row r="53">
      <x:c r="A53" s="44" t="str">
        <x:v>AUTOSERVICIOS</x:v>
      </x:c>
      <x:c r="B53" s="44" t="str">
        <x:v>VDA</x:v>
      </x:c>
      <x:c r="C53" s="44" t="str">
        <x:v>FINCA LAS MORAS</x:v>
      </x:c>
      <x:c r="D53" s="50" t="n">
        <x:v>74735</x:v>
      </x:c>
      <x:c r="E53" s="51" t="str">
        <x:v>74735</x:v>
      </x:c>
      <x:c r="F53" s="44" t="str">
        <x:v>F.LAS MORAS RED BLEND 6X750</x:v>
      </x:c>
      <x:c r="G53" s="44" t="str">
        <x:v>Finca Las Moras</x:v>
      </x:c>
      <x:c r="H53" s="44" t="str">
        <x:v>Vigente</x:v>
      </x:c>
      <x:c r="I53" s="44" t="str">
        <x:v>Finca Las Moras</x:v>
      </x:c>
      <x:c r="J53" s="44" t="str">
        <x:v>Vinos del año</x:v>
      </x:c>
      <x:c r="K53" s="44" t="str">
        <x:v>Medio Alto</x:v>
      </x:c>
      <x:c r="L53" s="44"/>
      <x:c r="M53" s="44" t="n">
        <x:v>4.5</x:v>
      </x:c>
      <x:c r="N53" s="44" t="n">
        <x:v>6</x:v>
      </x:c>
      <x:c r="O53" s="44" t="str">
        <x:v>FINCA LAS MORAS</x:v>
      </x:c>
      <x:c r="P53" s="44" t="str">
        <x:v>FINCA LAS MORAS</x:v>
      </x:c>
      <x:c r="Q53" s="44" t="str">
        <x:v>INCLUIR</x:v>
      </x:c>
    </x:row>
    <x:row r="54">
      <x:c r="A54" s="44" t="str">
        <x:v>AUTOSERVICIOS</x:v>
      </x:c>
      <x:c r="B54" s="44" t="str">
        <x:v>VDA</x:v>
      </x:c>
      <x:c r="C54" s="44" t="str">
        <x:v>DON DAVID</x:v>
      </x:c>
      <x:c r="D54" s="50" t="n">
        <x:v>41681</x:v>
      </x:c>
      <x:c r="E54" s="51" t="str">
        <x:v>41681</x:v>
      </x:c>
      <x:c r="F54" s="44" t="str">
        <x:v>D.DAVID TANNAT 6X750</x:v>
      </x:c>
      <x:c r="G54" s="44" t="str">
        <x:v>El Esteco</x:v>
      </x:c>
      <x:c r="H54" s="44" t="str">
        <x:v>Vigente</x:v>
      </x:c>
      <x:c r="I54" s="44" t="str">
        <x:v>Don David</x:v>
      </x:c>
      <x:c r="J54" s="44" t="str">
        <x:v>Vinos del año</x:v>
      </x:c>
      <x:c r="K54" s="44" t="str">
        <x:v>Superior</x:v>
      </x:c>
      <x:c r="L54" s="44"/>
      <x:c r="M54" s="44" t="n">
        <x:v>4.5</x:v>
      </x:c>
      <x:c r="N54" s="44" t="n">
        <x:v>6</x:v>
      </x:c>
      <x:c r="O54" s="44" t="str">
        <x:v>DON DAVID</x:v>
      </x:c>
      <x:c r="P54" s="44" t="str">
        <x:v>DON DAVID</x:v>
      </x:c>
      <x:c r="Q54" s="44" t="str">
        <x:v>INCLUIR</x:v>
      </x:c>
    </x:row>
    <x:row r="55">
      <x:c r="A55" s="44" t="str">
        <x:v>AUTOSERVICIOS</x:v>
      </x:c>
      <x:c r="B55" s="44" t="str">
        <x:v>VDA</x:v>
      </x:c>
      <x:c r="C55" s="44" t="str">
        <x:v>DON DAVID</x:v>
      </x:c>
      <x:c r="D55" s="50" t="n">
        <x:v>41682</x:v>
      </x:c>
      <x:c r="E55" s="51" t="str">
        <x:v>41682</x:v>
      </x:c>
      <x:c r="F55" s="44" t="str">
        <x:v>D.DAVID MALBEC 6X750</x:v>
      </x:c>
      <x:c r="G55" s="44" t="str">
        <x:v>El Esteco</x:v>
      </x:c>
      <x:c r="H55" s="44" t="str">
        <x:v>Vigente</x:v>
      </x:c>
      <x:c r="I55" s="44" t="str">
        <x:v>Don David</x:v>
      </x:c>
      <x:c r="J55" s="44" t="str">
        <x:v>Vinos del año</x:v>
      </x:c>
      <x:c r="K55" s="44" t="str">
        <x:v>Superior</x:v>
      </x:c>
      <x:c r="L55" s="44"/>
      <x:c r="M55" s="44" t="n">
        <x:v>4.5</x:v>
      </x:c>
      <x:c r="N55" s="44" t="n">
        <x:v>6</x:v>
      </x:c>
      <x:c r="O55" s="44" t="str">
        <x:v>DON DAVID</x:v>
      </x:c>
      <x:c r="P55" s="44" t="str">
        <x:v>DON DAVID</x:v>
      </x:c>
      <x:c r="Q55" s="44" t="str">
        <x:v>INCLUIR</x:v>
      </x:c>
    </x:row>
    <x:row r="56">
      <x:c r="A56" s="44" t="str">
        <x:v>AUTOSERVICIOS</x:v>
      </x:c>
      <x:c r="B56" s="44" t="str">
        <x:v>VDA</x:v>
      </x:c>
      <x:c r="C56" s="44" t="str">
        <x:v>DON DAVID</x:v>
      </x:c>
      <x:c r="D56" s="50" t="n">
        <x:v>41687</x:v>
      </x:c>
      <x:c r="E56" s="51" t="str">
        <x:v>41687</x:v>
      </x:c>
      <x:c r="F56" s="44" t="str">
        <x:v>D.DAVID SYRAH 6X750</x:v>
      </x:c>
      <x:c r="G56" s="44" t="str">
        <x:v>El Esteco</x:v>
      </x:c>
      <x:c r="H56" s="44" t="str">
        <x:v>Vigente</x:v>
      </x:c>
      <x:c r="I56" s="44" t="str">
        <x:v>Don David</x:v>
      </x:c>
      <x:c r="J56" s="44" t="str">
        <x:v>Vinos del año</x:v>
      </x:c>
      <x:c r="K56" s="44" t="str">
        <x:v>Superior</x:v>
      </x:c>
      <x:c r="L56" s="44"/>
      <x:c r="M56" s="44" t="n">
        <x:v>4.5</x:v>
      </x:c>
      <x:c r="N56" s="44" t="n">
        <x:v>6</x:v>
      </x:c>
      <x:c r="O56" s="44" t="str">
        <x:v>DON DAVID</x:v>
      </x:c>
      <x:c r="P56" s="44" t="str">
        <x:v>DON DAVID</x:v>
      </x:c>
      <x:c r="Q56" s="44" t="str">
        <x:v>INCLUIR</x:v>
      </x:c>
    </x:row>
    <x:row r="57">
      <x:c r="A57" s="44" t="str">
        <x:v>AUTOSERVICIOS</x:v>
      </x:c>
      <x:c r="B57" s="44" t="str">
        <x:v>VDA</x:v>
      </x:c>
      <x:c r="C57" s="44" t="str">
        <x:v>DON DAVID</x:v>
      </x:c>
      <x:c r="D57" s="50" t="n">
        <x:v>42373</x:v>
      </x:c>
      <x:c r="E57" s="51" t="str">
        <x:v>42373</x:v>
      </x:c>
      <x:c r="F57" s="44" t="str">
        <x:v>D.DAVID CABERNET 6X750</x:v>
      </x:c>
      <x:c r="G57" s="44" t="str">
        <x:v>El Esteco</x:v>
      </x:c>
      <x:c r="H57" s="44" t="str">
        <x:v>Vigente</x:v>
      </x:c>
      <x:c r="I57" s="44" t="str">
        <x:v>Don David</x:v>
      </x:c>
      <x:c r="J57" s="44" t="str">
        <x:v>Vinos del año</x:v>
      </x:c>
      <x:c r="K57" s="44" t="str">
        <x:v>Superior</x:v>
      </x:c>
      <x:c r="L57" s="44"/>
      <x:c r="M57" s="44" t="n">
        <x:v>4.5</x:v>
      </x:c>
      <x:c r="N57" s="44" t="n">
        <x:v>6</x:v>
      </x:c>
      <x:c r="O57" s="44" t="str">
        <x:v>DON DAVID</x:v>
      </x:c>
      <x:c r="P57" s="44" t="str">
        <x:v>DON DAVID</x:v>
      </x:c>
      <x:c r="Q57" s="44" t="str">
        <x:v>INCLUIR</x:v>
      </x:c>
    </x:row>
    <x:row r="58">
      <x:c r="A58" s="44" t="str">
        <x:v>AUTOSERVICIOS</x:v>
      </x:c>
      <x:c r="B58" s="44" t="str">
        <x:v>VDA</x:v>
      </x:c>
      <x:c r="C58" s="44" t="str">
        <x:v>DON DAVID</x:v>
      </x:c>
      <x:c r="D58" s="50" t="n">
        <x:v>42374</x:v>
      </x:c>
      <x:c r="E58" s="51" t="str">
        <x:v>42374</x:v>
      </x:c>
      <x:c r="F58" s="44" t="str">
        <x:v>D.DAVID CHARDONNAY 6X750</x:v>
      </x:c>
      <x:c r="G58" s="44" t="str">
        <x:v>El Esteco</x:v>
      </x:c>
      <x:c r="H58" s="44" t="str">
        <x:v>Vigente</x:v>
      </x:c>
      <x:c r="I58" s="44" t="str">
        <x:v>Don David</x:v>
      </x:c>
      <x:c r="J58" s="44" t="str">
        <x:v>Vinos del año</x:v>
      </x:c>
      <x:c r="K58" s="44" t="str">
        <x:v>Superior</x:v>
      </x:c>
      <x:c r="L58" s="44"/>
      <x:c r="M58" s="44" t="n">
        <x:v>4.5</x:v>
      </x:c>
      <x:c r="N58" s="44" t="n">
        <x:v>6</x:v>
      </x:c>
      <x:c r="O58" s="44" t="str">
        <x:v>DON DAVID</x:v>
      </x:c>
      <x:c r="P58" s="44" t="str">
        <x:v>DON DAVID</x:v>
      </x:c>
      <x:c r="Q58" s="44" t="str">
        <x:v>INCLUIR</x:v>
      </x:c>
    </x:row>
    <x:row r="59">
      <x:c r="A59" s="44" t="str">
        <x:v>AUTOSERVICIOS</x:v>
      </x:c>
      <x:c r="B59" s="44" t="str">
        <x:v>VDA</x:v>
      </x:c>
      <x:c r="C59" s="44" t="str">
        <x:v>DON DAVID</x:v>
      </x:c>
      <x:c r="D59" s="50" t="n">
        <x:v>42375</x:v>
      </x:c>
      <x:c r="E59" s="51" t="str">
        <x:v>42375</x:v>
      </x:c>
      <x:c r="F59" s="44" t="str">
        <x:v>D.DAVID TORRONTES 6X750</x:v>
      </x:c>
      <x:c r="G59" s="44" t="str">
        <x:v>El Esteco</x:v>
      </x:c>
      <x:c r="H59" s="44" t="str">
        <x:v>Vigente</x:v>
      </x:c>
      <x:c r="I59" s="44" t="str">
        <x:v>Don David</x:v>
      </x:c>
      <x:c r="J59" s="44" t="str">
        <x:v>Vinos del año</x:v>
      </x:c>
      <x:c r="K59" s="44" t="str">
        <x:v>Superior</x:v>
      </x:c>
      <x:c r="L59" s="44"/>
      <x:c r="M59" s="44" t="n">
        <x:v>4.5</x:v>
      </x:c>
      <x:c r="N59" s="44" t="n">
        <x:v>6</x:v>
      </x:c>
      <x:c r="O59" s="44" t="str">
        <x:v>DON DAVID</x:v>
      </x:c>
      <x:c r="P59" s="44" t="str">
        <x:v>DON DAVID</x:v>
      </x:c>
      <x:c r="Q59" s="44" t="str">
        <x:v>INCLUIR</x:v>
      </x:c>
    </x:row>
    <x:row r="60">
      <x:c r="A60" s="44" t="str">
        <x:v>AUTOSERVICIOS</x:v>
      </x:c>
      <x:c r="B60" s="44" t="str">
        <x:v>VDA</x:v>
      </x:c>
      <x:c r="C60" s="44" t="str">
        <x:v>DON DAVID</x:v>
      </x:c>
      <x:c r="D60" s="50" t="n">
        <x:v>42376</x:v>
      </x:c>
      <x:c r="E60" s="51" t="str">
        <x:v>42376</x:v>
      </x:c>
      <x:c r="F60" s="44" t="str">
        <x:v>DON DAVID RED BLEND 6X750</x:v>
      </x:c>
      <x:c r="G60" s="44" t="str">
        <x:v>El Esteco</x:v>
      </x:c>
      <x:c r="H60" s="44" t="str">
        <x:v>Vigente</x:v>
      </x:c>
      <x:c r="I60" s="44" t="str">
        <x:v>Don David</x:v>
      </x:c>
      <x:c r="J60" s="44" t="str">
        <x:v>Vinos del año</x:v>
      </x:c>
      <x:c r="K60" s="44" t="str">
        <x:v>Superior</x:v>
      </x:c>
      <x:c r="L60" s="44"/>
      <x:c r="M60" s="44" t="n">
        <x:v>4.5</x:v>
      </x:c>
      <x:c r="N60" s="44" t="n">
        <x:v>6</x:v>
      </x:c>
      <x:c r="O60" s="44" t="str">
        <x:v>DON DAVID</x:v>
      </x:c>
      <x:c r="P60" s="44" t="str">
        <x:v>DON DAVID</x:v>
      </x:c>
      <x:c r="Q60" s="44" t="str">
        <x:v>INCLUIR</x:v>
      </x:c>
    </x:row>
    <x:row r="61">
      <x:c r="A61" s="44" t="str">
        <x:v>AUTOSERVICIOS</x:v>
      </x:c>
      <x:c r="B61" s="44" t="str">
        <x:v>VDA</x:v>
      </x:c>
      <x:c r="C61" s="44" t="str">
        <x:v>DON DAVID</x:v>
      </x:c>
      <x:c r="D61" s="50" t="n">
        <x:v>42377</x:v>
      </x:c>
      <x:c r="E61" s="51" t="str">
        <x:v>42377</x:v>
      </x:c>
      <x:c r="F61" s="44" t="str">
        <x:v>DON DAVID TORRON LOW ALC 6X750</x:v>
      </x:c>
      <x:c r="G61" s="44" t="str">
        <x:v>El Esteco</x:v>
      </x:c>
      <x:c r="H61" s="44" t="str">
        <x:v>SIN_ESTADO_ORIGEN</x:v>
      </x:c>
      <x:c r="I61" s="44" t="str">
        <x:v>Don David</x:v>
      </x:c>
      <x:c r="J61" s="44" t="str">
        <x:v>Vinos del año</x:v>
      </x:c>
      <x:c r="K61" s="44" t="str">
        <x:v>Superior</x:v>
      </x:c>
      <x:c r="L61" s="44"/>
      <x:c r="M61" s="44" t="n">
        <x:v>4.5</x:v>
      </x:c>
      <x:c r="N61" s="44" t="n">
        <x:v>6</x:v>
      </x:c>
      <x:c r="O61" s="44" t="str">
        <x:v>DON DAVID</x:v>
      </x:c>
      <x:c r="P61" s="44" t="str">
        <x:v>DON DAVID</x:v>
      </x:c>
      <x:c r="Q61" s="44" t="str">
        <x:v>REVISAR_ESTADO</x:v>
      </x:c>
    </x:row>
    <x:row r="62">
      <x:c r="A62" s="44" t="str">
        <x:v>AUTOSERVICIOS</x:v>
      </x:c>
      <x:c r="B62" s="44" t="str">
        <x:v>VDA</x:v>
      </x:c>
      <x:c r="C62" s="44" t="str">
        <x:v>DON DAVID</x:v>
      </x:c>
      <x:c r="D62" s="50" t="n">
        <x:v>44389</x:v>
      </x:c>
      <x:c r="E62" s="51" t="str">
        <x:v>44389</x:v>
      </x:c>
      <x:c r="F62" s="44" t="str">
        <x:v>DON DAVID PINOT NOIR 6X750 </x:v>
      </x:c>
      <x:c r="G62" s="44" t="str">
        <x:v>El Esteco</x:v>
      </x:c>
      <x:c r="H62" s="44" t="str">
        <x:v>Vigente</x:v>
      </x:c>
      <x:c r="I62" s="44" t="str">
        <x:v>Don David</x:v>
      </x:c>
      <x:c r="J62" s="44" t="str">
        <x:v>Vinos del año</x:v>
      </x:c>
      <x:c r="K62" s="44" t="str">
        <x:v>Superior</x:v>
      </x:c>
      <x:c r="L62" s="44"/>
      <x:c r="M62" s="44" t="n">
        <x:v>4.5</x:v>
      </x:c>
      <x:c r="N62" s="44" t="n">
        <x:v>6</x:v>
      </x:c>
      <x:c r="O62" s="44" t="str">
        <x:v>DON DAVID</x:v>
      </x:c>
      <x:c r="P62" s="44" t="str">
        <x:v>DON DAVID</x:v>
      </x:c>
      <x:c r="Q62" s="44" t="str">
        <x:v>INCLUIR</x:v>
      </x:c>
    </x:row>
    <x:row r="63">
      <x:c r="A63" s="44" t="str">
        <x:v>AUTOSERVICIOS</x:v>
      </x:c>
      <x:c r="B63" s="44" t="str">
        <x:v>SPIRITS</x:v>
      </x:c>
      <x:c r="C63" s="44" t="str">
        <x:v>GORDON'S FLAVOURS</x:v>
      </x:c>
      <x:c r="D63" s="50" t="n">
        <x:v>30134</x:v>
      </x:c>
      <x:c r="E63" s="51" t="str">
        <x:v>30134</x:v>
      </x:c>
      <x:c r="F63" s="44" t="str">
        <x:v>GORDON´S PINK GIN 6x700 (30134)</x:v>
      </x:c>
      <x:c r="G63" s="44" t="str">
        <x:v>Diageo</x:v>
      </x:c>
      <x:c r="H63" s="44" t="str">
        <x:v>Vigente</x:v>
      </x:c>
      <x:c r="I63" s="44" t="str">
        <x:v>Gordon´s Flavors</x:v>
      </x:c>
      <x:c r="J63" s="44" t="str">
        <x:v>Gin</x:v>
      </x:c>
      <x:c r="K63" s="44" t="str">
        <x:v>Standard (S)</x:v>
      </x:c>
      <x:c r="L63" s="44" t="str">
        <x:v>Nacionales</x:v>
      </x:c>
      <x:c r="M63" s="44" t="n">
        <x:v>4.199999999999999</x:v>
      </x:c>
      <x:c r="N63" s="44" t="n">
        <x:v>6</x:v>
      </x:c>
      <x:c r="O63" s="44" t="str">
        <x:v>GORDON'S FLAVOURS</x:v>
      </x:c>
      <x:c r="P63" s="44" t="str">
        <x:v>GORDON'S FLAVORS</x:v>
      </x:c>
      <x:c r="Q63" s="44" t="str">
        <x:v>INCLUIR</x:v>
      </x:c>
    </x:row>
    <x:row r="64">
      <x:c r="A64" s="44" t="str">
        <x:v>AUTOSERVICIOS</x:v>
      </x:c>
      <x:c r="B64" s="44" t="str">
        <x:v>SPIRITS</x:v>
      </x:c>
      <x:c r="C64" s="44" t="str">
        <x:v>GORDON'S FLAVOURS</x:v>
      </x:c>
      <x:c r="D64" s="50" t="n">
        <x:v>30139</x:v>
      </x:c>
      <x:c r="E64" s="51" t="str">
        <x:v>30139</x:v>
      </x:c>
      <x:c r="F64" s="44" t="str">
        <x:v>GORDON'S TROPICAL FRUITS 6x700</x:v>
      </x:c>
      <x:c r="G64" s="44" t="str">
        <x:v>Diageo</x:v>
      </x:c>
      <x:c r="H64" s="44" t="str">
        <x:v>Vigente</x:v>
      </x:c>
      <x:c r="I64" s="44" t="str">
        <x:v>Gordon´s Flavors</x:v>
      </x:c>
      <x:c r="J64" s="44" t="str">
        <x:v>Gin</x:v>
      </x:c>
      <x:c r="K64" s="44" t="str">
        <x:v>Standard (S)</x:v>
      </x:c>
      <x:c r="L64" s="44" t="str">
        <x:v>Nacionales</x:v>
      </x:c>
      <x:c r="M64" s="44" t="n">
        <x:v>4.199999999999999</x:v>
      </x:c>
      <x:c r="N64" s="44" t="n">
        <x:v>6</x:v>
      </x:c>
      <x:c r="O64" s="44" t="str">
        <x:v>GORDON'S FLAVOURS</x:v>
      </x:c>
      <x:c r="P64" s="44" t="str">
        <x:v>GORDON'S FLAVORS</x:v>
      </x:c>
      <x:c r="Q64" s="44" t="str">
        <x:v>INCLUIR</x:v>
      </x:c>
    </x:row>
    <x:row r="65">
      <x:c r="A65" s="44" t="str">
        <x:v>AUTOSERVICIOS</x:v>
      </x:c>
      <x:c r="B65" s="44" t="str">
        <x:v>SPIRITS</x:v>
      </x:c>
      <x:c r="C65" s="44" t="str">
        <x:v>SMIRNOFF FLAVOURS</x:v>
      </x:c>
      <x:c r="D65" s="50" t="n">
        <x:v>30020</x:v>
      </x:c>
      <x:c r="E65" s="51" t="str">
        <x:v>30020</x:v>
      </x:c>
      <x:c r="F65" s="44" t="str">
        <x:v>SMIRNOFF GREEN APPLE DO 6X700</x:v>
      </x:c>
      <x:c r="G65" s="44" t="str">
        <x:v>Diageo</x:v>
      </x:c>
      <x:c r="H65" s="44" t="str">
        <x:v>Vigente</x:v>
      </x:c>
      <x:c r="I65" s="44" t="str">
        <x:v>Smirnoff Flavors</x:v>
      </x:c>
      <x:c r="J65" s="44" t="str">
        <x:v>Vodka</x:v>
      </x:c>
      <x:c r="K65" s="44" t="str">
        <x:v>Standard (S)</x:v>
      </x:c>
      <x:c r="L65" s="44" t="str">
        <x:v>Nacionales</x:v>
      </x:c>
      <x:c r="M65" s="44" t="n">
        <x:v>4.199999999999999</x:v>
      </x:c>
      <x:c r="N65" s="44" t="n">
        <x:v>6</x:v>
      </x:c>
      <x:c r="O65" s="44" t="str">
        <x:v>SMIRNOFF FLAVOURS</x:v>
      </x:c>
      <x:c r="P65" s="44" t="str">
        <x:v>SMIRNOFF FLAVORS</x:v>
      </x:c>
      <x:c r="Q65" s="44" t="str">
        <x:v>INCLUIR</x:v>
      </x:c>
    </x:row>
    <x:row r="66">
      <x:c r="A66" s="44" t="str">
        <x:v>AUTOSERVICIOS</x:v>
      </x:c>
      <x:c r="B66" s="44" t="str">
        <x:v>SPIRITS</x:v>
      </x:c>
      <x:c r="C66" s="44" t="str">
        <x:v>SMIRNOFF FLAVOURS</x:v>
      </x:c>
      <x:c r="D66" s="50" t="n">
        <x:v>30022</x:v>
      </x:c>
      <x:c r="E66" s="51" t="str">
        <x:v>30022</x:v>
      </x:c>
      <x:c r="F66" s="44" t="str">
        <x:v>SMIRNOFF RASPBERRY DO 6X700</x:v>
      </x:c>
      <x:c r="G66" s="44" t="str">
        <x:v>Diageo</x:v>
      </x:c>
      <x:c r="H66" s="44" t="str">
        <x:v>Vigente</x:v>
      </x:c>
      <x:c r="I66" s="44" t="str">
        <x:v>Smirnoff Flavors</x:v>
      </x:c>
      <x:c r="J66" s="44" t="str">
        <x:v>Vodka</x:v>
      </x:c>
      <x:c r="K66" s="44" t="str">
        <x:v>Standard (S)</x:v>
      </x:c>
      <x:c r="L66" s="44" t="str">
        <x:v>Nacionales</x:v>
      </x:c>
      <x:c r="M66" s="44" t="n">
        <x:v>4.199999999999999</x:v>
      </x:c>
      <x:c r="N66" s="44" t="n">
        <x:v>6</x:v>
      </x:c>
      <x:c r="O66" s="44" t="str">
        <x:v>SMIRNOFF FLAVOURS</x:v>
      </x:c>
      <x:c r="P66" s="44" t="str">
        <x:v>SMIRNOFF FLAVORS</x:v>
      </x:c>
      <x:c r="Q66" s="44" t="str">
        <x:v>INCLUIR</x:v>
      </x:c>
    </x:row>
    <x:row r="67">
      <x:c r="A67" s="44" t="str">
        <x:v>AUTOSERVICIOS</x:v>
      </x:c>
      <x:c r="B67" s="44" t="str">
        <x:v>SPIRITS</x:v>
      </x:c>
      <x:c r="C67" s="44" t="str">
        <x:v>SMIRNOFF FLAVOURS</x:v>
      </x:c>
      <x:c r="D67" s="50" t="n">
        <x:v>30065</x:v>
      </x:c>
      <x:c r="E67" s="51" t="str">
        <x:v>30065</x:v>
      </x:c>
      <x:c r="F67" s="44" t="str">
        <x:v>SMIRNOFF WATERMELON 6X700</x:v>
      </x:c>
      <x:c r="G67" s="44" t="str">
        <x:v>Diageo</x:v>
      </x:c>
      <x:c r="H67" s="44" t="str">
        <x:v>Vigente</x:v>
      </x:c>
      <x:c r="I67" s="44" t="str">
        <x:v>Smirnoff Flavors</x:v>
      </x:c>
      <x:c r="J67" s="44" t="str">
        <x:v>Vodka</x:v>
      </x:c>
      <x:c r="K67" s="44" t="str">
        <x:v>Standard (S)</x:v>
      </x:c>
      <x:c r="L67" s="44" t="str">
        <x:v>Nacionales</x:v>
      </x:c>
      <x:c r="M67" s="44" t="n">
        <x:v>4.199999999999999</x:v>
      </x:c>
      <x:c r="N67" s="44" t="n">
        <x:v>6</x:v>
      </x:c>
      <x:c r="O67" s="44" t="str">
        <x:v>SMIRNOFF FLAVOURS</x:v>
      </x:c>
      <x:c r="P67" s="44" t="str">
        <x:v>SMIRNOFF FLAVORS</x:v>
      </x:c>
      <x:c r="Q67" s="44" t="str">
        <x:v>INCLUIR</x:v>
      </x:c>
    </x:row>
    <x:row r="68">
      <x:c r="A68" s="44" t="str">
        <x:v>AUTOSERVICIOS</x:v>
      </x:c>
      <x:c r="B68" s="44" t="str">
        <x:v>SPIRITS</x:v>
      </x:c>
      <x:c r="C68" s="44" t="str">
        <x:v>SMIRNOFF FLAVOURS</x:v>
      </x:c>
      <x:c r="D68" s="50" t="n">
        <x:v>30131</x:v>
      </x:c>
      <x:c r="E68" s="51" t="str">
        <x:v>30131</x:v>
      </x:c>
      <x:c r="F68" s="44" t="str">
        <x:v>SMIRNOFF TROPICAL FRUITS 6X700 (30131)</x:v>
      </x:c>
      <x:c r="G68" s="44" t="str">
        <x:v>Diageo</x:v>
      </x:c>
      <x:c r="H68" s="44" t="str">
        <x:v>Vigente</x:v>
      </x:c>
      <x:c r="I68" s="44" t="str">
        <x:v>Smirnoff Flavors</x:v>
      </x:c>
      <x:c r="J68" s="44" t="str">
        <x:v>Vodka</x:v>
      </x:c>
      <x:c r="K68" s="44" t="str">
        <x:v>Standard (S)</x:v>
      </x:c>
      <x:c r="L68" s="44" t="str">
        <x:v>Nacionales</x:v>
      </x:c>
      <x:c r="M68" s="44" t="n">
        <x:v>4.199999999999999</x:v>
      </x:c>
      <x:c r="N68" s="44" t="n">
        <x:v>6</x:v>
      </x:c>
      <x:c r="O68" s="44" t="str">
        <x:v>SMIRNOFF FLAVOURS</x:v>
      </x:c>
      <x:c r="P68" s="44" t="str">
        <x:v>SMIRNOFF FLAVORS</x:v>
      </x:c>
      <x:c r="Q68" s="44" t="str">
        <x:v>INCLUIR</x:v>
      </x:c>
    </x:row>
    <x:row r="69">
      <x:c r="A69" s="44" t="str">
        <x:v>AUTOSERVICIOS</x:v>
      </x:c>
      <x:c r="B69" s="44" t="str">
        <x:v>SPIRITS</x:v>
      </x:c>
      <x:c r="C69" s="44" t="str">
        <x:v>SMIRNOFF FLAVOURS</x:v>
      </x:c>
      <x:c r="D69" s="50" t="n">
        <x:v>30135</x:v>
      </x:c>
      <x:c r="E69" s="51" t="str">
        <x:v>30135</x:v>
      </x:c>
      <x:c r="F69" s="44" t="str">
        <x:v>SMIRNOFF TAMARINDO 6X700 (30135)</x:v>
      </x:c>
      <x:c r="G69" s="44" t="str">
        <x:v>Diageo</x:v>
      </x:c>
      <x:c r="H69" s="44" t="str">
        <x:v>Vigente</x:v>
      </x:c>
      <x:c r="I69" s="44" t="str">
        <x:v>Smirnoff Flavors</x:v>
      </x:c>
      <x:c r="J69" s="44" t="str">
        <x:v>Vodka</x:v>
      </x:c>
      <x:c r="K69" s="44" t="str">
        <x:v>Standard (S)</x:v>
      </x:c>
      <x:c r="L69" s="44" t="str">
        <x:v>Nacionales</x:v>
      </x:c>
      <x:c r="M69" s="44" t="n">
        <x:v>4.199999999999999</x:v>
      </x:c>
      <x:c r="N69" s="44" t="n">
        <x:v>6</x:v>
      </x:c>
      <x:c r="O69" s="44" t="str">
        <x:v>SMIRNOFF FLAVOURS</x:v>
      </x:c>
      <x:c r="P69" s="44" t="str">
        <x:v>SMIRNOFF FLAVORS</x:v>
      </x:c>
      <x:c r="Q69" s="44" t="str">
        <x:v>INCLUIR</x:v>
      </x:c>
    </x:row>
    <x:row r="70">
      <x:c r="A70" s="44" t="str">
        <x:v>AUTOSERVICIOS</x:v>
      </x:c>
      <x:c r="B70" s="44" t="str">
        <x:v>CERVEZA</x:v>
      </x:c>
      <x:c r="C70" s="44" t="str">
        <x:v>ANTARES</x:v>
      </x:c>
      <x:c r="D70" s="50" t="n">
        <x:v>60001</x:v>
      </x:c>
      <x:c r="E70" s="51" t="str">
        <x:v>60001</x:v>
      </x:c>
      <x:c r="F70" s="44" t="str">
        <x:v>ANTARES KOLSCH LATA 6X473 (60001)</x:v>
      </x:c>
      <x:c r="G70" s="44" t="str">
        <x:v>Antares</x:v>
      </x:c>
      <x:c r="H70" s="44" t="str">
        <x:v>Vigente</x:v>
      </x:c>
      <x:c r="I70" s="44" t="str">
        <x:v>Antares Especiales</x:v>
      </x:c>
      <x:c r="J70" s="44" t="str">
        <x:v>Cerveza Artesanal</x:v>
      </x:c>
      <x:c r="K70" s="44" t="str">
        <x:v>Cerveza Artesanal</x:v>
      </x:c>
      <x:c r="L70" s="44"/>
      <x:c r="M70" s="44" t="n">
        <x:v>2.838</x:v>
      </x:c>
      <x:c r="N70" s="44" t="n">
        <x:v>6</x:v>
      </x:c>
      <x:c r="O70" s="44" t="str">
        <x:v>ANTARES</x:v>
      </x:c>
      <x:c r="P70" s="44" t="str">
        <x:v>ANTARES ESPECIALES</x:v>
      </x:c>
      <x:c r="Q70" s="44" t="str">
        <x:v>INCLUIR</x:v>
      </x:c>
    </x:row>
    <x:row r="71">
      <x:c r="A71" s="44" t="str">
        <x:v>AUTOSERVICIOS</x:v>
      </x:c>
      <x:c r="B71" s="44" t="str">
        <x:v>CERVEZA</x:v>
      </x:c>
      <x:c r="C71" s="44" t="str">
        <x:v>ANTARES</x:v>
      </x:c>
      <x:c r="D71" s="50" t="n">
        <x:v>60002</x:v>
      </x:c>
      <x:c r="E71" s="51" t="str">
        <x:v>60002</x:v>
      </x:c>
      <x:c r="F71" s="44" t="str">
        <x:v>ANTARES SCOTCH LATA 6X473 (60002)</x:v>
      </x:c>
      <x:c r="G71" s="44" t="str">
        <x:v>Antares</x:v>
      </x:c>
      <x:c r="H71" s="44" t="str">
        <x:v>Vigente</x:v>
      </x:c>
      <x:c r="I71" s="44" t="str">
        <x:v>Antares Especiales</x:v>
      </x:c>
      <x:c r="J71" s="44" t="str">
        <x:v>Cerveza Artesanal</x:v>
      </x:c>
      <x:c r="K71" s="44" t="str">
        <x:v>Cerveza Artesanal</x:v>
      </x:c>
      <x:c r="L71" s="44"/>
      <x:c r="M71" s="44" t="n">
        <x:v>2.838</x:v>
      </x:c>
      <x:c r="N71" s="44" t="n">
        <x:v>6</x:v>
      </x:c>
      <x:c r="O71" s="44" t="str">
        <x:v>ANTARES</x:v>
      </x:c>
      <x:c r="P71" s="44" t="str">
        <x:v>ANTARES ESPECIALES</x:v>
      </x:c>
      <x:c r="Q71" s="44" t="str">
        <x:v>INCLUIR</x:v>
      </x:c>
    </x:row>
    <x:row r="72">
      <x:c r="A72" s="44" t="str">
        <x:v>AUTOSERVICIOS</x:v>
      </x:c>
      <x:c r="B72" s="44" t="str">
        <x:v>CERVEZA</x:v>
      </x:c>
      <x:c r="C72" s="44" t="str">
        <x:v>ANTARES</x:v>
      </x:c>
      <x:c r="D72" s="50" t="n">
        <x:v>60007</x:v>
      </x:c>
      <x:c r="E72" s="51" t="str">
        <x:v>60007</x:v>
      </x:c>
      <x:c r="F72" s="44" t="str">
        <x:v>ANTARES CARAVANA LATA 6X473 (60007)</x:v>
      </x:c>
      <x:c r="G72" s="44" t="str">
        <x:v>Antares</x:v>
      </x:c>
      <x:c r="H72" s="44" t="str">
        <x:v>Vigente</x:v>
      </x:c>
      <x:c r="I72" s="44" t="str">
        <x:v>Antares Especiales</x:v>
      </x:c>
      <x:c r="J72" s="44" t="str">
        <x:v>Cerveza Artesanal</x:v>
      </x:c>
      <x:c r="K72" s="44" t="str">
        <x:v>Cerveza Artesanal</x:v>
      </x:c>
      <x:c r="L72" s="44"/>
      <x:c r="M72" s="44" t="n">
        <x:v>2.838</x:v>
      </x:c>
      <x:c r="N72" s="44" t="n">
        <x:v>6</x:v>
      </x:c>
      <x:c r="O72" s="44" t="str">
        <x:v>ANTARES</x:v>
      </x:c>
      <x:c r="P72" s="44" t="str">
        <x:v>ANTARES ESPECIALES</x:v>
      </x:c>
      <x:c r="Q72" s="44" t="str">
        <x:v>INCLUIR</x:v>
      </x:c>
    </x:row>
    <x:row r="73">
      <x:c r="A73" s="44" t="str">
        <x:v>AUTOSERVICIOS</x:v>
      </x:c>
      <x:c r="B73" s="44" t="str">
        <x:v>CERVEZA</x:v>
      </x:c>
      <x:c r="C73" s="44" t="str">
        <x:v>ANTARES</x:v>
      </x:c>
      <x:c r="D73" s="50" t="n">
        <x:v>60008</x:v>
      </x:c>
      <x:c r="E73" s="51" t="str">
        <x:v>60008</x:v>
      </x:c>
      <x:c r="F73" s="44" t="str">
        <x:v>ANTARES HONEY LATA 6X473 (60008)</x:v>
      </x:c>
      <x:c r="G73" s="44" t="str">
        <x:v>Antares</x:v>
      </x:c>
      <x:c r="H73" s="44" t="str">
        <x:v>Vigente</x:v>
      </x:c>
      <x:c r="I73" s="44" t="str">
        <x:v>Antares Especiales</x:v>
      </x:c>
      <x:c r="J73" s="44" t="str">
        <x:v>Cerveza Artesanal</x:v>
      </x:c>
      <x:c r="K73" s="44" t="str">
        <x:v>Cerveza Artesanal</x:v>
      </x:c>
      <x:c r="L73" s="44"/>
      <x:c r="M73" s="44" t="n">
        <x:v>2.838</x:v>
      </x:c>
      <x:c r="N73" s="44" t="n">
        <x:v>6</x:v>
      </x:c>
      <x:c r="O73" s="44" t="str">
        <x:v>ANTARES</x:v>
      </x:c>
      <x:c r="P73" s="44" t="str">
        <x:v>ANTARES ESPECIALES</x:v>
      </x:c>
      <x:c r="Q73" s="44" t="str">
        <x:v>INCLUIR</x:v>
      </x:c>
    </x:row>
    <x:row r="74">
      <x:c r="A74" s="44" t="str">
        <x:v>AUTOSERVICIOS</x:v>
      </x:c>
      <x:c r="B74" s="44" t="str">
        <x:v>CERVEZA</x:v>
      </x:c>
      <x:c r="C74" s="44" t="str">
        <x:v>ANTARES</x:v>
      </x:c>
      <x:c r="D74" s="50" t="n">
        <x:v>60015</x:v>
      </x:c>
      <x:c r="E74" s="51" t="str">
        <x:v>60015</x:v>
      </x:c>
      <x:c r="F74" s="44" t="str">
        <x:v>ANTARES PLAYA GRANDE LATA6x473 (60015)</x:v>
      </x:c>
      <x:c r="G74" s="44" t="str">
        <x:v>Antares</x:v>
      </x:c>
      <x:c r="H74" s="44" t="str">
        <x:v>Vigente</x:v>
      </x:c>
      <x:c r="I74" s="44" t="str">
        <x:v>Antares Especiales</x:v>
      </x:c>
      <x:c r="J74" s="44" t="str">
        <x:v>Cerveza Artesanal</x:v>
      </x:c>
      <x:c r="K74" s="44" t="str">
        <x:v>Cerveza Artesanal</x:v>
      </x:c>
      <x:c r="L74" s="44"/>
      <x:c r="M74" s="44" t="n">
        <x:v>2.838</x:v>
      </x:c>
      <x:c r="N74" s="44" t="n">
        <x:v>6</x:v>
      </x:c>
      <x:c r="O74" s="44" t="str">
        <x:v>ANTARES</x:v>
      </x:c>
      <x:c r="P74" s="44" t="str">
        <x:v>ANTARES ESPECIALES</x:v>
      </x:c>
      <x:c r="Q74" s="44" t="str">
        <x:v>INCLUIR</x:v>
      </x:c>
    </x:row>
    <x:row r="75">
      <x:c r="A75" s="44" t="str">
        <x:v>AUTOSERVICIOS</x:v>
      </x:c>
      <x:c r="B75" s="44" t="str">
        <x:v>CERVEZA</x:v>
      </x:c>
      <x:c r="C75" s="44" t="str">
        <x:v>ANTARES</x:v>
      </x:c>
      <x:c r="D75" s="50" t="n">
        <x:v>60017</x:v>
      </x:c>
      <x:c r="E75" s="51" t="str">
        <x:v>60017</x:v>
      </x:c>
      <x:c r="F75" s="44" t="str">
        <x:v>ANTARES IPA LATA 6X473 (New)</x:v>
      </x:c>
      <x:c r="G75" s="44" t="str">
        <x:v>Antares</x:v>
      </x:c>
      <x:c r="H75" s="44" t="str">
        <x:v>Vigente</x:v>
      </x:c>
      <x:c r="I75" s="44" t="str">
        <x:v>Antares Especiales</x:v>
      </x:c>
      <x:c r="J75" s="44" t="str">
        <x:v>Cerveza Artesanal</x:v>
      </x:c>
      <x:c r="K75" s="44" t="str">
        <x:v>Cerveza Artesanal</x:v>
      </x:c>
      <x:c r="L75" s="44"/>
      <x:c r="M75" s="44" t="n">
        <x:v>2.838</x:v>
      </x:c>
      <x:c r="N75" s="44" t="n">
        <x:v>6</x:v>
      </x:c>
      <x:c r="O75" s="44" t="str">
        <x:v>ANTARES</x:v>
      </x:c>
      <x:c r="P75" s="44" t="str">
        <x:v>ANTARES ESPECIALES</x:v>
      </x:c>
      <x:c r="Q75" s="44" t="str">
        <x:v>INCLUIR</x:v>
      </x:c>
    </x:row>
    <x:row r="76">
      <x:c r="A76" s="44" t="str">
        <x:v>AUTOSERVICIOS</x:v>
      </x:c>
      <x:c r="B76" s="44" t="str">
        <x:v>CERVEZA</x:v>
      </x:c>
      <x:c r="C76" s="44" t="str">
        <x:v>ANTARES</x:v>
      </x:c>
      <x:c r="D76" s="50" t="n">
        <x:v>60018</x:v>
      </x:c>
      <x:c r="E76" s="51" t="str">
        <x:v>60018</x:v>
      </x:c>
      <x:c r="F76" s="44" t="str">
        <x:v>ANTARES LAGER LATA 6X473</x:v>
      </x:c>
      <x:c r="G76" s="44" t="str">
        <x:v>Antares</x:v>
      </x:c>
      <x:c r="H76" s="44" t="str">
        <x:v>Vigente</x:v>
      </x:c>
      <x:c r="I76" s="44" t="str">
        <x:v>Antares Clasica</x:v>
      </x:c>
      <x:c r="J76" s="44" t="str">
        <x:v>Cerveza Artesanal</x:v>
      </x:c>
      <x:c r="K76" s="44" t="str">
        <x:v>Cerveza Artesanal</x:v>
      </x:c>
      <x:c r="L76" s="44"/>
      <x:c r="M76" s="44" t="n">
        <x:v>2.838</x:v>
      </x:c>
      <x:c r="N76" s="44" t="n">
        <x:v>6</x:v>
      </x:c>
      <x:c r="O76" s="44" t="str">
        <x:v>ANTARES</x:v>
      </x:c>
      <x:c r="P76" s="44" t="str">
        <x:v>ANTARES CLASICA</x:v>
      </x:c>
      <x:c r="Q76" s="44" t="str">
        <x:v>INCLUIR</x:v>
      </x:c>
    </x:row>
    <x:row r="77">
      <x:c r="A77" s="44" t="str">
        <x:v>AUTOSERVICIOS</x:v>
      </x:c>
      <x:c r="B77" s="44" t="str">
        <x:v>CERVEZA</x:v>
      </x:c>
      <x:c r="C77" s="44" t="str">
        <x:v>ANTARES</x:v>
      </x:c>
      <x:c r="D77" s="50" t="n">
        <x:v>60019</x:v>
      </x:c>
      <x:c r="E77" s="51" t="str">
        <x:v>60019</x:v>
      </x:c>
      <x:c r="F77" s="44" t="str">
        <x:v>ANTARES IPA SIN ALC LATA 6X473</x:v>
      </x:c>
      <x:c r="G77" s="44" t="str">
        <x:v>Antares</x:v>
      </x:c>
      <x:c r="H77" s="44" t="str">
        <x:v>Vigente</x:v>
      </x:c>
      <x:c r="I77" s="44" t="str">
        <x:v>Antares Clasica</x:v>
      </x:c>
      <x:c r="J77" s="44" t="str">
        <x:v>Cerveza Artesanal</x:v>
      </x:c>
      <x:c r="K77" s="44" t="str">
        <x:v>Cerveza Artesanal</x:v>
      </x:c>
      <x:c r="L77" s="44"/>
      <x:c r="M77" s="44" t="n">
        <x:v>2.838</x:v>
      </x:c>
      <x:c r="N77" s="44" t="n">
        <x:v>6</x:v>
      </x:c>
      <x:c r="O77" s="44" t="str">
        <x:v>ANTARES</x:v>
      </x:c>
      <x:c r="P77" s="44" t="str">
        <x:v>ANTARES CLASICA</x:v>
      </x:c>
      <x:c r="Q77" s="44" t="str">
        <x:v>INCLUIR</x:v>
      </x:c>
    </x:row>
    <x:row r="78">
      <x:c r="A78" s="44" t="str">
        <x:v>AUTOSERVICIOS</x:v>
      </x:c>
      <x:c r="B78" s="44" t="str">
        <x:v>CERVEZA</x:v>
      </x:c>
      <x:c r="C78" s="44" t="str">
        <x:v>ANTARES</x:v>
      </x:c>
      <x:c r="D78" s="50" t="n">
        <x:v>60020</x:v>
      </x:c>
      <x:c r="E78" s="51" t="str">
        <x:v>60020</x:v>
      </x:c>
      <x:c r="F78" s="44" t="str">
        <x:v>ANTARES XPA LATA 6x473</x:v>
      </x:c>
      <x:c r="G78" s="44" t="str">
        <x:v>Antares</x:v>
      </x:c>
      <x:c r="H78" s="44" t="str">
        <x:v>Vigente</x:v>
      </x:c>
      <x:c r="I78" s="44" t="str">
        <x:v>Antares Especiales</x:v>
      </x:c>
      <x:c r="J78" s="44" t="str">
        <x:v>Cerveza Artesanal</x:v>
      </x:c>
      <x:c r="K78" s="44" t="str">
        <x:v>Cerveza Artesanal</x:v>
      </x:c>
      <x:c r="L78" s="44"/>
      <x:c r="M78" s="44" t="n">
        <x:v>2.838</x:v>
      </x:c>
      <x:c r="N78" s="44" t="n">
        <x:v>6</x:v>
      </x:c>
      <x:c r="O78" s="44" t="str">
        <x:v>ANTARES</x:v>
      </x:c>
      <x:c r="P78" s="44" t="str">
        <x:v>ANTARES ESPECIALES</x:v>
      </x:c>
      <x:c r="Q78" s="44" t="str">
        <x:v>INCLUIR</x:v>
      </x:c>
    </x:row>
    <x:row r="79">
      <x:c r="A79" s="44" t="str">
        <x:v>AUTOSERVICIOS</x:v>
      </x:c>
      <x:c r="B79" s="44" t="str">
        <x:v>CERVEZA</x:v>
      </x:c>
      <x:c r="C79" s="44" t="str">
        <x:v>ANTARES</x:v>
      </x:c>
      <x:c r="D79" s="50" t="n">
        <x:v>60021</x:v>
      </x:c>
      <x:c r="E79" s="51" t="str">
        <x:v>60021</x:v>
      </x:c>
      <x:c r="F79" s="44" t="str">
        <x:v>ANTARES LAGER PORRON 6X330</x:v>
      </x:c>
      <x:c r="G79" s="44" t="str">
        <x:v>Antares</x:v>
      </x:c>
      <x:c r="H79" s="44" t="str">
        <x:v>Vigente</x:v>
      </x:c>
      <x:c r="I79" s="44" t="str">
        <x:v>Antares Clasica</x:v>
      </x:c>
      <x:c r="J79" s="44" t="str">
        <x:v>Cerveza Artesanal</x:v>
      </x:c>
      <x:c r="K79" s="44" t="str">
        <x:v>Cerveza Artesanal</x:v>
      </x:c>
      <x:c r="L79" s="44"/>
      <x:c r="M79" s="44" t="n">
        <x:v>1.98</x:v>
      </x:c>
      <x:c r="N79" s="44" t="n">
        <x:v>6</x:v>
      </x:c>
      <x:c r="O79" s="44" t="str">
        <x:v>ANTARES</x:v>
      </x:c>
      <x:c r="P79" s="44" t="str">
        <x:v>ANTARES CLASICA</x:v>
      </x:c>
      <x:c r="Q79" s="44" t="str">
        <x:v>INCLUIR</x:v>
      </x:c>
    </x:row>
    <x:row r="80">
      <x:c r="A80" s="44" t="str">
        <x:v>AUTOSERVICIOS</x:v>
      </x:c>
      <x:c r="B80" s="44" t="str">
        <x:v>CERVEZA</x:v>
      </x:c>
      <x:c r="C80" s="44" t="str">
        <x:v>ANTARES</x:v>
      </x:c>
      <x:c r="D80" s="50" t="n">
        <x:v>60022</x:v>
      </x:c>
      <x:c r="E80" s="51" t="str">
        <x:v>60022</x:v>
      </x:c>
      <x:c r="F80" s="44" t="str">
        <x:v>ANTARES LAGER BOTELLA 6X660</x:v>
      </x:c>
      <x:c r="G80" s="44" t="str">
        <x:v>Antares</x:v>
      </x:c>
      <x:c r="H80" s="44" t="str">
        <x:v>Vigente</x:v>
      </x:c>
      <x:c r="I80" s="44" t="str">
        <x:v>Antares Clasica</x:v>
      </x:c>
      <x:c r="J80" s="44" t="str">
        <x:v>Cerveza Artesanal</x:v>
      </x:c>
      <x:c r="K80" s="44" t="str">
        <x:v>Cerveza Artesanal</x:v>
      </x:c>
      <x:c r="L80" s="44"/>
      <x:c r="M80" s="44" t="n">
        <x:v>3.96</x:v>
      </x:c>
      <x:c r="N80" s="44" t="n">
        <x:v>6</x:v>
      </x:c>
      <x:c r="O80" s="44" t="str">
        <x:v>ANTARES</x:v>
      </x:c>
      <x:c r="P80" s="44" t="str">
        <x:v>ANTARES CLASICA</x:v>
      </x:c>
      <x:c r="Q80" s="44" t="str">
        <x:v>INCLUIR</x:v>
      </x:c>
    </x:row>
    <x:row r="81">
      <x:c r="A81" s="44" t="str">
        <x:v>AUTOSERVICIOS</x:v>
      </x:c>
      <x:c r="B81" s="44" t="str">
        <x:v>RTD</x:v>
      </x:c>
      <x:c r="C81" s="44" t="str">
        <x:v>SMF ICE</x:v>
      </x:c>
      <x:c r="D81" s="50" t="n">
        <x:v>35103</x:v>
      </x:c>
      <x:c r="E81" s="51" t="str">
        <x:v>35103</x:v>
      </x:c>
      <x:c r="F81" s="44" t="str">
        <x:v>SMIRNOFF ICE LATA 4X6X473 (35103)</x:v>
      </x:c>
      <x:c r="G81" s="44" t="str">
        <x:v>Diageo</x:v>
      </x:c>
      <x:c r="H81" s="44" t="str">
        <x:v>Vigente</x:v>
      </x:c>
      <x:c r="I81" s="44" t="str">
        <x:v>Smirnoff Ice</x:v>
      </x:c>
      <x:c r="J81" s="44" t="str">
        <x:v>RTD (S)</x:v>
      </x:c>
      <x:c r="K81" s="44" t="str">
        <x:v>RTD (S)</x:v>
      </x:c>
      <x:c r="L81" s="44"/>
      <x:c r="M81" s="44" t="n">
        <x:v>11.352</x:v>
      </x:c>
      <x:c r="N81" s="44" t="n">
        <x:v>24</x:v>
      </x:c>
      <x:c r="O81" s="44" t="str">
        <x:v>SMF ICE</x:v>
      </x:c>
      <x:c r="P81" s="44" t="str">
        <x:v>SMIRNOFF ICE</x:v>
      </x:c>
      <x:c r="Q81" s="44" t="str">
        <x:v>INCLUIR</x:v>
      </x:c>
    </x:row>
    <x:row r="82">
      <x:c r="A82" s="44" t="str">
        <x:v>AUTOSERVICIOS</x:v>
      </x:c>
      <x:c r="B82" s="44" t="str">
        <x:v>RTD</x:v>
      </x:c>
      <x:c r="C82" s="44" t="str">
        <x:v>SMF ICE</x:v>
      </x:c>
      <x:c r="D82" s="50" t="n">
        <x:v>35104</x:v>
      </x:c>
      <x:c r="E82" s="51" t="str">
        <x:v>35104</x:v>
      </x:c>
      <x:c r="F82" s="44" t="str">
        <x:v>SMF ICE GREENAPPLE LAT 4X6X473 (35104)</x:v>
      </x:c>
      <x:c r="G82" s="44" t="str">
        <x:v>Diageo</x:v>
      </x:c>
      <x:c r="H82" s="44" t="str">
        <x:v>Vigente</x:v>
      </x:c>
      <x:c r="I82" s="44" t="str">
        <x:v>Smirnoff Ice</x:v>
      </x:c>
      <x:c r="J82" s="44" t="str">
        <x:v>RTD (S)</x:v>
      </x:c>
      <x:c r="K82" s="44" t="str">
        <x:v>RTD (S)</x:v>
      </x:c>
      <x:c r="L82" s="44"/>
      <x:c r="M82" s="44" t="n">
        <x:v>11.352</x:v>
      </x:c>
      <x:c r="N82" s="44" t="n">
        <x:v>24</x:v>
      </x:c>
      <x:c r="O82" s="44" t="str">
        <x:v>SMF ICE</x:v>
      </x:c>
      <x:c r="P82" s="44" t="str">
        <x:v>SMIRNOFF ICE</x:v>
      </x:c>
      <x:c r="Q82" s="44" t="str">
        <x:v>INCLUIR</x:v>
      </x:c>
    </x:row>
    <x:row r="83">
      <x:c r="A83" s="44" t="str">
        <x:v>AUTOSERVICIOS</x:v>
      </x:c>
      <x:c r="B83" s="44" t="str">
        <x:v>RTD</x:v>
      </x:c>
      <x:c r="C83" s="44" t="str">
        <x:v>SMF ICE</x:v>
      </x:c>
      <x:c r="D83" s="50" t="n">
        <x:v>35105</x:v>
      </x:c>
      <x:c r="E83" s="51" t="str">
        <x:v>35105</x:v>
      </x:c>
      <x:c r="F83" s="44" t="str">
        <x:v>SMF ICE RED BERRIE LAT 4X6X473 (35105)</x:v>
      </x:c>
      <x:c r="G83" s="44" t="str">
        <x:v>Diageo</x:v>
      </x:c>
      <x:c r="H83" s="44" t="str">
        <x:v>Vigente</x:v>
      </x:c>
      <x:c r="I83" s="44" t="str">
        <x:v>Smirnoff Ice</x:v>
      </x:c>
      <x:c r="J83" s="44" t="str">
        <x:v>RTD (S)</x:v>
      </x:c>
      <x:c r="K83" s="44" t="str">
        <x:v>RTD (S)</x:v>
      </x:c>
      <x:c r="L83" s="44"/>
      <x:c r="M83" s="44" t="n">
        <x:v>11.352</x:v>
      </x:c>
      <x:c r="N83" s="44" t="n">
        <x:v>24</x:v>
      </x:c>
      <x:c r="O83" s="44" t="str">
        <x:v>SMF ICE</x:v>
      </x:c>
      <x:c r="P83" s="44" t="str">
        <x:v>SMIRNOFF ICE</x:v>
      </x:c>
      <x:c r="Q83" s="44" t="str">
        <x:v>INCLUIR</x:v>
      </x:c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</x:row>
  </x:sheetData>
  <x:conditionalFormatting sqref="Q2:Q83">
    <x:cfRule type="expression" dxfId="0" priority="1">
      <x:formula>LEFT($Q2,7)="REVISAR"</x:formula>
    </x:cfRule>
    <x:cfRule type="expression" dxfId="1" priority="2">
      <x:formula>LEFT($Q2,7)="INCLUIR"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93e340321943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4" hidden="0" customWidth="1"/>
    <x:col min="5" max="5" width="26" hidden="0" customWidth="1"/>
  </x:cols>
  <x:sheetData>
    <x:row r="1">
      <x:c r="A1" s="32" t="str">
        <x:v>categoria_11t</x:v>
      </x:c>
      <x:c r="B1" s="32" t="str">
        <x:v>linea_comercial_11t</x:v>
      </x:c>
      <x:c r="C1" s="32" t="str">
        <x:v>alias_aceptado</x:v>
      </x:c>
      <x:c r="D1" s="32" t="str">
        <x:v>uso</x:v>
      </x:c>
      <x:c r="E1" s="32" t="str">
        <x:v>prioridad_match</x:v>
      </x:c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</x:row>
    <x:row r="2">
      <x:c r="A2" s="44" t="str">
        <x:v>VDA</x:v>
      </x:c>
      <x:c r="B2" s="44" t="str">
        <x:v>ALMA MORA</x:v>
      </x:c>
      <x:c r="C2" s="44" t="str">
        <x:v>Alma Mora</x:v>
      </x:c>
      <x:c r="D2" s="44" t="str">
        <x:v>Solo respaldo si el histórico no trae código de artículo</x:v>
      </x:c>
      <x:c r="E2" s="44" t="str">
        <x:v>2 - texto normalizado</x:v>
      </x:c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</x:row>
    <x:row r="3">
      <x:c r="A3" s="44" t="str">
        <x:v>VDA</x:v>
      </x:c>
      <x:c r="B3" s="44" t="str">
        <x:v>ALMA MORA</x:v>
      </x:c>
      <x:c r="C3" s="44" t="str">
        <x:v>ALMA MORA</x:v>
      </x:c>
      <x:c r="D3" s="44" t="str">
        <x:v>Solo respaldo si el histórico no trae código de artículo</x:v>
      </x:c>
      <x:c r="E3" s="44" t="str">
        <x:v>2 - texto normalizado</x:v>
      </x:c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</x:row>
    <x:row r="4">
      <x:c r="A4" s="44" t="str">
        <x:v>VDA</x:v>
      </x:c>
      <x:c r="B4" s="44" t="str">
        <x:v>DADA</x:v>
      </x:c>
      <x:c r="C4" s="44" t="str">
        <x:v>Dada</x:v>
      </x:c>
      <x:c r="D4" s="44" t="str">
        <x:v>Solo respaldo si el histórico no trae código de artículo</x:v>
      </x:c>
      <x:c r="E4" s="44" t="str">
        <x:v>2 - texto normalizado</x:v>
      </x:c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</x:row>
    <x:row r="5">
      <x:c r="A5" s="44" t="str">
        <x:v>VDA</x:v>
      </x:c>
      <x:c r="B5" s="44" t="str">
        <x:v>DADA</x:v>
      </x:c>
      <x:c r="C5" s="44" t="str">
        <x:v>DADÁ</x:v>
      </x:c>
      <x:c r="D5" s="44" t="str">
        <x:v>Solo respaldo si el histórico no trae código de artículo</x:v>
      </x:c>
      <x:c r="E5" s="44" t="str">
        <x:v>2 - texto normalizado</x:v>
      </x:c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</x:row>
    <x:row r="6">
      <x:c r="A6" s="44" t="str">
        <x:v>VDA</x:v>
      </x:c>
      <x:c r="B6" s="44" t="str">
        <x:v>DADA</x:v>
      </x:c>
      <x:c r="C6" s="44" t="str">
        <x:v>DADA</x:v>
      </x:c>
      <x:c r="D6" s="44" t="str">
        <x:v>Solo respaldo si el histórico no trae código de artículo</x:v>
      </x:c>
      <x:c r="E6" s="44" t="str">
        <x:v>2 - texto normalizado</x:v>
      </x:c>
      <x:c r="F6" s="44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</x:row>
    <x:row r="7">
      <x:c r="A7" s="44" t="str">
        <x:v>VDA</x:v>
      </x:c>
      <x:c r="B7" s="44" t="str">
        <x:v>LOS ARBOLES</x:v>
      </x:c>
      <x:c r="C7" s="44" t="str">
        <x:v>Los Arboles</x:v>
      </x:c>
      <x:c r="D7" s="44" t="str">
        <x:v>Solo respaldo si el histórico no trae código de artículo</x:v>
      </x:c>
      <x:c r="E7" s="44" t="str">
        <x:v>2 - texto normalizado</x:v>
      </x:c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</x:row>
    <x:row r="8">
      <x:c r="A8" s="44" t="str">
        <x:v>VDA</x:v>
      </x:c>
      <x:c r="B8" s="44" t="str">
        <x:v>LOS ARBOLES</x:v>
      </x:c>
      <x:c r="C8" s="44" t="str">
        <x:v>Los Árboles</x:v>
      </x:c>
      <x:c r="D8" s="44" t="str">
        <x:v>Solo respaldo si el histórico no trae código de artículo</x:v>
      </x:c>
      <x:c r="E8" s="44" t="str">
        <x:v>2 - texto normalizado</x:v>
      </x:c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</x:row>
    <x:row r="9">
      <x:c r="A9" s="44" t="str">
        <x:v>VDA</x:v>
      </x:c>
      <x:c r="B9" s="44" t="str">
        <x:v>LOS ARBOLES</x:v>
      </x:c>
      <x:c r="C9" s="44" t="str">
        <x:v>LOS ARBOLES</x:v>
      </x:c>
      <x:c r="D9" s="44" t="str">
        <x:v>Solo respaldo si el histórico no trae código de artículo</x:v>
      </x:c>
      <x:c r="E9" s="44" t="str">
        <x:v>2 - texto normalizado</x:v>
      </x:c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</x:row>
    <x:row r="10">
      <x:c r="A10" s="44" t="str">
        <x:v>VDA</x:v>
      </x:c>
      <x:c r="B10" s="44" t="str">
        <x:v>LOS ARBOLES</x:v>
      </x:c>
      <x:c r="C10" s="44" t="str">
        <x:v>LOS ÁRBOLES</x:v>
      </x:c>
      <x:c r="D10" s="44" t="str">
        <x:v>Solo respaldo si el histórico no trae código de artículo</x:v>
      </x:c>
      <x:c r="E10" s="44" t="str">
        <x:v>2 - texto normalizado</x:v>
      </x:c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</x:row>
    <x:row r="11">
      <x:c r="A11" s="44" t="str">
        <x:v>VDA</x:v>
      </x:c>
      <x:c r="B11" s="44" t="str">
        <x:v>TRAPICHE RESERVA</x:v>
      </x:c>
      <x:c r="C11" s="44" t="str">
        <x:v>Trapiche Reserva</x:v>
      </x:c>
      <x:c r="D11" s="44" t="str">
        <x:v>Solo respaldo si el histórico no trae código de artículo</x:v>
      </x:c>
      <x:c r="E11" s="44" t="str">
        <x:v>2 - texto normalizado</x:v>
      </x:c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</x:row>
    <x:row r="12">
      <x:c r="A12" s="44" t="str">
        <x:v>VDA</x:v>
      </x:c>
      <x:c r="B12" s="44" t="str">
        <x:v>TRAPICHE RESERVA</x:v>
      </x:c>
      <x:c r="C12" s="44" t="str">
        <x:v>TRAPICHE RESERVA</x:v>
      </x:c>
      <x:c r="D12" s="44" t="str">
        <x:v>Solo respaldo si el histórico no trae código de artículo</x:v>
      </x:c>
      <x:c r="E12" s="44" t="str">
        <x:v>2 - texto normalizado</x:v>
      </x:c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</x:row>
    <x:row r="13">
      <x:c r="A13" s="44" t="str">
        <x:v>VDA</x:v>
      </x:c>
      <x:c r="B13" s="44" t="str">
        <x:v>ALARIS</x:v>
      </x:c>
      <x:c r="C13" s="44" t="str">
        <x:v>Alaris</x:v>
      </x:c>
      <x:c r="D13" s="44" t="str">
        <x:v>Solo respaldo si el histórico no trae código de artículo</x:v>
      </x:c>
      <x:c r="E13" s="44" t="str">
        <x:v>2 - texto normalizado</x:v>
      </x:c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</x:row>
    <x:row r="14">
      <x:c r="A14" s="44" t="str">
        <x:v>VDA</x:v>
      </x:c>
      <x:c r="B14" s="44" t="str">
        <x:v>ALARIS</x:v>
      </x:c>
      <x:c r="C14" s="44" t="str">
        <x:v>Trapiche Alaris</x:v>
      </x:c>
      <x:c r="D14" s="44" t="str">
        <x:v>Solo respaldo si el histórico no trae código de artículo</x:v>
      </x:c>
      <x:c r="E14" s="44" t="str">
        <x:v>2 - texto normalizado</x:v>
      </x:c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</x:row>
    <x:row r="15">
      <x:c r="A15" s="44" t="str">
        <x:v>VDA</x:v>
      </x:c>
      <x:c r="B15" s="44" t="str">
        <x:v>ALARIS</x:v>
      </x:c>
      <x:c r="C15" s="44" t="str">
        <x:v>ALARIS</x:v>
      </x:c>
      <x:c r="D15" s="44" t="str">
        <x:v>Solo respaldo si el histórico no trae código de artículo</x:v>
      </x:c>
      <x:c r="E15" s="44" t="str">
        <x:v>2 - texto normalizado</x:v>
      </x:c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</x:row>
    <x:row r="16">
      <x:c r="A16" s="44" t="str">
        <x:v>VDA</x:v>
      </x:c>
      <x:c r="B16" s="44" t="str">
        <x:v>FINCA LAS MORAS</x:v>
      </x:c>
      <x:c r="C16" s="44" t="str">
        <x:v>Finca Las Moras</x:v>
      </x:c>
      <x:c r="D16" s="44" t="str">
        <x:v>Solo respaldo si el histórico no trae código de artículo</x:v>
      </x:c>
      <x:c r="E16" s="44" t="str">
        <x:v>2 - texto normalizado</x:v>
      </x:c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</x:row>
    <x:row r="17">
      <x:c r="A17" s="44" t="str">
        <x:v>VDA</x:v>
      </x:c>
      <x:c r="B17" s="44" t="str">
        <x:v>FINCA LAS MORAS</x:v>
      </x:c>
      <x:c r="C17" s="44" t="str">
        <x:v>F. Las Moras</x:v>
      </x:c>
      <x:c r="D17" s="44" t="str">
        <x:v>Solo respaldo si el histórico no trae código de artículo</x:v>
      </x:c>
      <x:c r="E17" s="44" t="str">
        <x:v>2 - texto normalizado</x:v>
      </x:c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</x:row>
    <x:row r="18">
      <x:c r="A18" s="44" t="str">
        <x:v>VDA</x:v>
      </x:c>
      <x:c r="B18" s="44" t="str">
        <x:v>FINCA LAS MORAS</x:v>
      </x:c>
      <x:c r="C18" s="44" t="str">
        <x:v>F.LAS MORAS</x:v>
      </x:c>
      <x:c r="D18" s="44" t="str">
        <x:v>Solo respaldo si el histórico no trae código de artículo</x:v>
      </x:c>
      <x:c r="E18" s="44" t="str">
        <x:v>2 - texto normalizado</x:v>
      </x:c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</x:row>
    <x:row r="19">
      <x:c r="A19" s="44" t="str">
        <x:v>VDA</x:v>
      </x:c>
      <x:c r="B19" s="44" t="str">
        <x:v>FINCA LAS MORAS</x:v>
      </x:c>
      <x:c r="C19" s="44" t="str">
        <x:v>FINCA LAS MORAS</x:v>
      </x:c>
      <x:c r="D19" s="44" t="str">
        <x:v>Solo respaldo si el histórico no trae código de artículo</x:v>
      </x:c>
      <x:c r="E19" s="44" t="str">
        <x:v>2 - texto normalizado</x:v>
      </x:c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</x:row>
    <x:row r="20">
      <x:c r="A20" s="44" t="str">
        <x:v>VDA</x:v>
      </x:c>
      <x:c r="B20" s="44" t="str">
        <x:v>DON DAVID</x:v>
      </x:c>
      <x:c r="C20" s="44" t="str">
        <x:v>Don David</x:v>
      </x:c>
      <x:c r="D20" s="44" t="str">
        <x:v>Solo respaldo si el histórico no trae código de artículo</x:v>
      </x:c>
      <x:c r="E20" s="44" t="str">
        <x:v>2 - texto normalizado</x:v>
      </x:c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</x:row>
    <x:row r="21">
      <x:c r="A21" s="44" t="str">
        <x:v>VDA</x:v>
      </x:c>
      <x:c r="B21" s="44" t="str">
        <x:v>DON DAVID</x:v>
      </x:c>
      <x:c r="C21" s="44" t="str">
        <x:v>D. David</x:v>
      </x:c>
      <x:c r="D21" s="44" t="str">
        <x:v>Solo respaldo si el histórico no trae código de artículo</x:v>
      </x:c>
      <x:c r="E21" s="44" t="str">
        <x:v>2 - texto normalizado</x:v>
      </x:c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</x:row>
    <x:row r="22">
      <x:c r="A22" s="44" t="str">
        <x:v>VDA</x:v>
      </x:c>
      <x:c r="B22" s="44" t="str">
        <x:v>DON DAVID</x:v>
      </x:c>
      <x:c r="C22" s="44" t="str">
        <x:v>D.DAVID</x:v>
      </x:c>
      <x:c r="D22" s="44" t="str">
        <x:v>Solo respaldo si el histórico no trae código de artículo</x:v>
      </x:c>
      <x:c r="E22" s="44" t="str">
        <x:v>2 - texto normalizado</x:v>
      </x:c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</x:row>
    <x:row r="23">
      <x:c r="A23" s="44" t="str">
        <x:v>VDA</x:v>
      </x:c>
      <x:c r="B23" s="44" t="str">
        <x:v>DON DAVID</x:v>
      </x:c>
      <x:c r="C23" s="44" t="str">
        <x:v>DON DAVID</x:v>
      </x:c>
      <x:c r="D23" s="44" t="str">
        <x:v>Solo respaldo si el histórico no trae código de artículo</x:v>
      </x:c>
      <x:c r="E23" s="44" t="str">
        <x:v>2 - texto normalizado</x:v>
      </x:c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</x:row>
    <x:row r="24">
      <x:c r="A24" s="44" t="str">
        <x:v>SPIRITS</x:v>
      </x:c>
      <x:c r="B24" s="44" t="str">
        <x:v>GORDON'S FLAVOURS</x:v>
      </x:c>
      <x:c r="C24" s="44" t="str">
        <x:v>Gordon´s Flavors</x:v>
      </x:c>
      <x:c r="D24" s="44" t="str">
        <x:v>Solo respaldo si el histórico no trae código de artículo</x:v>
      </x:c>
      <x:c r="E24" s="44" t="str">
        <x:v>2 - texto normalizado</x:v>
      </x:c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</x:row>
    <x:row r="25">
      <x:c r="A25" s="44" t="str">
        <x:v>SPIRITS</x:v>
      </x:c>
      <x:c r="B25" s="44" t="str">
        <x:v>GORDON'S FLAVOURS</x:v>
      </x:c>
      <x:c r="C25" s="44" t="str">
        <x:v>Gordon's Flavors</x:v>
      </x:c>
      <x:c r="D25" s="44" t="str">
        <x:v>Solo respaldo si el histórico no trae código de artículo</x:v>
      </x:c>
      <x:c r="E25" s="44" t="str">
        <x:v>2 - texto normalizado</x:v>
      </x:c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</x:row>
    <x:row r="26">
      <x:c r="A26" s="44" t="str">
        <x:v>SPIRITS</x:v>
      </x:c>
      <x:c r="B26" s="44" t="str">
        <x:v>GORDON'S FLAVOURS</x:v>
      </x:c>
      <x:c r="C26" s="44" t="str">
        <x:v>Gordon´s Flavours</x:v>
      </x:c>
      <x:c r="D26" s="44" t="str">
        <x:v>Solo respaldo si el histórico no trae código de artículo</x:v>
      </x:c>
      <x:c r="E26" s="44" t="str">
        <x:v>2 - texto normalizado</x:v>
      </x:c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</x:row>
    <x:row r="27">
      <x:c r="A27" s="44" t="str">
        <x:v>SPIRITS</x:v>
      </x:c>
      <x:c r="B27" s="44" t="str">
        <x:v>GORDON'S FLAVOURS</x:v>
      </x:c>
      <x:c r="C27" s="44" t="str">
        <x:v>GORDON'S FLAVOURS</x:v>
      </x:c>
      <x:c r="D27" s="44" t="str">
        <x:v>Solo respaldo si el histórico no trae código de artículo</x:v>
      </x:c>
      <x:c r="E27" s="44" t="str">
        <x:v>2 - texto normalizado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</x:row>
    <x:row r="28">
      <x:c r="A28" s="44" t="str">
        <x:v>SPIRITS</x:v>
      </x:c>
      <x:c r="B28" s="44" t="str">
        <x:v>SMIRNOFF FLAVOURS</x:v>
      </x:c>
      <x:c r="C28" s="44" t="str">
        <x:v>Smirnoff Flavors</x:v>
      </x:c>
      <x:c r="D28" s="44" t="str">
        <x:v>Solo respaldo si el histórico no trae código de artículo</x:v>
      </x:c>
      <x:c r="E28" s="44" t="str">
        <x:v>2 - texto normalizado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</x:row>
    <x:row r="29">
      <x:c r="A29" s="44" t="str">
        <x:v>SPIRITS</x:v>
      </x:c>
      <x:c r="B29" s="44" t="str">
        <x:v>SMIRNOFF FLAVOURS</x:v>
      </x:c>
      <x:c r="C29" s="44" t="str">
        <x:v>Smirnoff Flavours</x:v>
      </x:c>
      <x:c r="D29" s="44" t="str">
        <x:v>Solo respaldo si el histórico no trae código de artículo</x:v>
      </x:c>
      <x:c r="E29" s="44" t="str">
        <x:v>2 - texto normalizado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</x:row>
    <x:row r="30">
      <x:c r="A30" s="44" t="str">
        <x:v>SPIRITS</x:v>
      </x:c>
      <x:c r="B30" s="44" t="str">
        <x:v>SMIRNOFF FLAVOURS</x:v>
      </x:c>
      <x:c r="C30" s="44" t="str">
        <x:v>SMIRNOFF FLAVOURS</x:v>
      </x:c>
      <x:c r="D30" s="44" t="str">
        <x:v>Solo respaldo si el histórico no trae código de artículo</x:v>
      </x:c>
      <x:c r="E30" s="44" t="str">
        <x:v>2 - texto normalizado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</x:row>
    <x:row r="31">
      <x:c r="A31" s="44" t="str">
        <x:v>CERVEZA</x:v>
      </x:c>
      <x:c r="B31" s="44" t="str">
        <x:v>ANTARES</x:v>
      </x:c>
      <x:c r="C31" s="44" t="str">
        <x:v>Antares</x:v>
      </x:c>
      <x:c r="D31" s="44" t="str">
        <x:v>Solo respaldo si el histórico no trae código de artículo</x:v>
      </x:c>
      <x:c r="E31" s="44" t="str">
        <x:v>2 - texto normalizado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</x:row>
    <x:row r="32">
      <x:c r="A32" s="44" t="str">
        <x:v>CERVEZA</x:v>
      </x:c>
      <x:c r="B32" s="44" t="str">
        <x:v>ANTARES</x:v>
      </x:c>
      <x:c r="C32" s="44" t="str">
        <x:v>Antares Clasica</x:v>
      </x:c>
      <x:c r="D32" s="44" t="str">
        <x:v>Solo respaldo si el histórico no trae código de artículo</x:v>
      </x:c>
      <x:c r="E32" s="44" t="str">
        <x:v>2 - texto normalizado</x:v>
      </x:c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</x:row>
    <x:row r="33">
      <x:c r="A33" s="44" t="str">
        <x:v>CERVEZA</x:v>
      </x:c>
      <x:c r="B33" s="44" t="str">
        <x:v>ANTARES</x:v>
      </x:c>
      <x:c r="C33" s="44" t="str">
        <x:v>Antares Clásica</x:v>
      </x:c>
      <x:c r="D33" s="44" t="str">
        <x:v>Solo respaldo si el histórico no trae código de artículo</x:v>
      </x:c>
      <x:c r="E33" s="44" t="str">
        <x:v>2 - texto normalizado</x:v>
      </x:c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</x:row>
    <x:row r="34">
      <x:c r="A34" s="44" t="str">
        <x:v>CERVEZA</x:v>
      </x:c>
      <x:c r="B34" s="44" t="str">
        <x:v>ANTARES</x:v>
      </x:c>
      <x:c r="C34" s="44" t="str">
        <x:v>Antares Especiales</x:v>
      </x:c>
      <x:c r="D34" s="44" t="str">
        <x:v>Solo respaldo si el histórico no trae código de artículo</x:v>
      </x:c>
      <x:c r="E34" s="44" t="str">
        <x:v>2 - texto normalizado</x:v>
      </x:c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</x:row>
    <x:row r="35">
      <x:c r="A35" s="44" t="str">
        <x:v>CERVEZA</x:v>
      </x:c>
      <x:c r="B35" s="44" t="str">
        <x:v>ANTARES</x:v>
      </x:c>
      <x:c r="C35" s="44" t="str">
        <x:v>ANTARES</x:v>
      </x:c>
      <x:c r="D35" s="44" t="str">
        <x:v>Solo respaldo si el histórico no trae código de artículo</x:v>
      </x:c>
      <x:c r="E35" s="44" t="str">
        <x:v>2 - texto normalizado</x:v>
      </x:c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</x:row>
    <x:row r="36">
      <x:c r="A36" s="44" t="str">
        <x:v>RTD</x:v>
      </x:c>
      <x:c r="B36" s="44" t="str">
        <x:v>SMF ICE</x:v>
      </x:c>
      <x:c r="C36" s="44" t="str">
        <x:v>Smirnoff Ice</x:v>
      </x:c>
      <x:c r="D36" s="44" t="str">
        <x:v>Solo respaldo si el histórico no trae código de artículo</x:v>
      </x:c>
      <x:c r="E36" s="44" t="str">
        <x:v>2 - texto normalizado</x:v>
      </x:c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</x:row>
    <x:row r="37">
      <x:c r="A37" s="44" t="str">
        <x:v>RTD</x:v>
      </x:c>
      <x:c r="B37" s="44" t="str">
        <x:v>SMF ICE</x:v>
      </x:c>
      <x:c r="C37" s="44" t="str">
        <x:v>SMF ICE</x:v>
      </x:c>
      <x:c r="D37" s="44" t="str">
        <x:v>Solo respaldo si el histórico no trae código de artículo</x:v>
      </x:c>
      <x:c r="E37" s="44" t="str">
        <x:v>2 - texto normalizado</x:v>
      </x:c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</x:row>
    <x:row r="38">
      <x:c r="A38" s="44" t="str">
        <x:v>RTD</x:v>
      </x:c>
      <x:c r="B38" s="44" t="str">
        <x:v>SMF ICE</x:v>
      </x:c>
      <x:c r="C38" s="44" t="str">
        <x:v>SMIRNOFF ICE</x:v>
      </x:c>
      <x:c r="D38" s="44" t="str">
        <x:v>Solo respaldo si el histórico no trae código de artículo</x:v>
      </x:c>
      <x:c r="E38" s="44" t="str">
        <x:v>2 - texto normalizado</x:v>
      </x:c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</x:row>
  </x:sheetData>
  <x:pageMargins left="0.7" right="0.7" top="0.75" bottom="0.75" header="0.3" footer="0.3"/>
  <x:tableParts count="1">
    <x:tablePart xmlns:r="http://schemas.openxmlformats.org/officeDocument/2006/relationships" r:id="R62151a3ea91643e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</x:cols>
  <x:sheetData>
    <x:row r="1">
      <x:c r="A1" s="5" t="str">
        <x:v>PROMPT TÉCNICO PARA CLAUDE CODE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</x:row>
    <x:row r="2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</x:row>
    <x:row r="3" ht="18" customHeight="1">
      <x:c r="A3" s="45" t="str">
        <x:v>Contexto del Sistema:
Orbit Peñaflor · módulo 11 Titulares · segmento Autoservicios. Este Excel define la matriz oficial de marcas/productos con Código Art. para evitar match impreciso por texto.
Instrucción XML para Claude:
&lt;objective&gt;
Actualizar el cálculo de 11 titulares de Autoservicios usando match exacto por código de artículo/SKU, tomando como contrato de datos la hoja DETALLE_SKU_11T_AS.
&lt;/objective&gt;
&lt;source_files&gt;
- Archivo Excel adjunto: 11_titulares_autoservicios_match_codigos.xlsx
- Revisar en el repo los módulos que calculan 11 titulares, cobertura por cliente y tarjetas de acciones/11T de Orbit Peñaflor.
&lt;/source_files&gt;
&lt;business_logic&gt;
- Aplicar solamente a canal Autoservicios / AS.
- El match principal es por Código Art. exacto: ventas.Código / ventas.Artículo / SKU == DETALLE_SKU_11T_AS.codigo_articulo.
- No usar contains por descripción cuando existe código.
- Usar ALIAS_NORMALIZACION solo como fallback si un histórico viejo no trae código.
- Mantener separadas las reglas de 11T de Autoservicios vs OP/Vinotecas.
- Categorías oficiales AS: VDA, SPIRITS, CERVEZA y RTD.
- No excluir filas REVISAR_ESTADO automáticamente; dejarlas auditables o parametrizables.
&lt;/business_logic&gt;
&lt;constraints&gt;
- No modificar reglas de Peñaflor para OP/Vinotecas.
- No tocar endpoints o pantallas no relacionadas con 11 titulares AS.
- No introducir librerías externas si el proyecto ya resuelve lectura Excel/CSV con dependencias existentes.
- Mantener compatibilidad con Render y con los CSV históricos.
&lt;/constraints&gt;
Plan de Verificación:
1) Cargar ventas con códigos de ALMA MORA, DADA, ANTARES y SMF ICE y confirmar que cada SKU impacta en su línea 11T correcta.
2) Probar un producto con descripción parecida pero código fuera de la matriz y confirmar que no suma al 11T AS.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</x:row>
    <x:row r="4" ht="18" customHeight="1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</x:row>
    <x:row r="5" ht="18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</x:row>
    <x:row r="6" ht="18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</x:row>
    <x:row r="7" ht="18" customHeight="1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</x:row>
    <x:row r="8" ht="18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</x:row>
    <x:row r="9" ht="18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</x:row>
    <x:row r="10" ht="18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</x:row>
    <x:row r="11" ht="18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</x:row>
    <x:row r="12" ht="18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</x:row>
    <x:row r="13" ht="18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</x:row>
    <x:row r="14" ht="18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</x:row>
    <x:row r="15" ht="18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</x:row>
    <x:row r="16" ht="18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</x:row>
    <x:row r="17" ht="18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</x:row>
    <x:row r="18" ht="18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</x:row>
    <x:row r="19" ht="18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</x:row>
    <x:row r="20" ht="18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</x:row>
    <x:row r="21" ht="18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</x:row>
    <x:row r="22" ht="18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</x:row>
    <x:row r="23" ht="18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</x:row>
    <x:row r="24" ht="18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</x:row>
    <x:row r="25" ht="18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</x:row>
    <x:row r="26" ht="18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</x:row>
    <x:row r="27" ht="18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</x:row>
    <x:row r="28" ht="18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</x:row>
    <x:row r="29" ht="18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</x:row>
    <x:row r="30" ht="18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</x:row>
    <x:row r="31" ht="18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</x:row>
    <x:row r="32" ht="18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</x:row>
    <x:row r="33" ht="18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</x:row>
    <x:row r="34" ht="18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</x:row>
    <x:row r="35" ht="18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</x:row>
  </x:sheetData>
  <x:mergeCells>
    <x:mergeCell ref="A1:D1"/>
    <x:mergeCell ref="A3:D35"/>
  </x:mergeCells>
  <x:pageMargins left="0.7" right="0.7" top="0.75" bottom="0.75" header="0.3" footer="0.3"/>
</x:worksheet>
</file>